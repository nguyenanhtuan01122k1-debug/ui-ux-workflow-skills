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Hướng dẫn" sheetId="2" state="visible" r:id="rId2"/>
    <sheet xmlns:r="http://schemas.openxmlformats.org/officeDocument/2006/relationships" name="Danh sách lỗi" sheetId="3" state="visible" r:id="rId3"/>
  </sheets>
  <definedNames>
    <definedName name="_xlnm._FilterDatabase" localSheetId="2" hidden="1">'Danh sách lỗi'!$A$1:$S$301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"/>
  </numFmts>
  <fonts count="10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A11414"/>
      <sz val="14"/>
    </font>
    <font>
      <name val="Arial"/>
      <b val="1"/>
      <color rgb="00A87437"/>
      <sz val="11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7A6F5F"/>
      <sz val="10"/>
    </font>
    <font>
      <name val="Arial"/>
      <color rgb="00000000"/>
      <sz val="10"/>
    </font>
    <font>
      <name val="Arial"/>
      <i val="1"/>
      <color rgb="007A6F5F"/>
      <sz val="9"/>
    </font>
    <font>
      <name val="Arial"/>
      <color rgb="007A6F5F"/>
      <sz val="9"/>
    </font>
  </fonts>
  <fills count="5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A11414"/>
      </patternFill>
    </fill>
    <fill>
      <patternFill patternType="solid">
        <fgColor rgb="00A87437"/>
      </patternFill>
    </fill>
  </fills>
  <borders count="2">
    <border>
      <left/>
      <right/>
      <top/>
      <bottom/>
      <diagonal/>
    </border>
    <border>
      <left style="thin">
        <color rgb="00D9D2C5"/>
      </left>
      <right style="thin">
        <color rgb="00D9D2C5"/>
      </right>
      <top style="thin">
        <color rgb="00D9D2C5"/>
      </top>
      <bottom style="thin">
        <color rgb="00D9D2C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8" fillId="0" borderId="0" pivotButton="0" quotePrefix="0" xfId="0"/>
    <xf numFmtId="0" fontId="5" fillId="4" borderId="1" pivotButton="0" quotePrefix="0" xfId="0"/>
    <xf numFmtId="0" fontId="1" fillId="0" borderId="1" pivotButton="0" quotePrefix="0" xfId="0"/>
    <xf numFmtId="0" fontId="4" fillId="0" borderId="1" pivotButton="0" quotePrefix="0" xfId="0"/>
    <xf numFmtId="165" fontId="4" fillId="0" borderId="1" pivotButton="0" quotePrefix="0" xfId="0"/>
    <xf numFmtId="0" fontId="9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vertical="top" wrapText="1"/>
    </xf>
    <xf numFmtId="164" fontId="6" fillId="2" borderId="1" applyAlignment="1" pivotButton="0" quotePrefix="0" xfId="0">
      <alignment vertical="top" wrapText="1"/>
    </xf>
    <xf numFmtId="1" fontId="6" fillId="0" borderId="1" applyAlignment="1" pivotButton="0" quotePrefix="0" xfId="0">
      <alignment horizontal="center" vertical="top"/>
    </xf>
    <xf numFmtId="0" fontId="7" fillId="2" borderId="1" applyAlignment="1" pivotButton="0" quotePrefix="0" xfId="0">
      <alignment vertical="top" wrapText="1"/>
    </xf>
    <xf numFmtId="164" fontId="7" fillId="2" borderId="1" applyAlignment="1" pivotButton="0" quotePrefix="0" xfId="0">
      <alignment vertical="top" wrapText="1"/>
    </xf>
    <xf numFmtId="1" fontId="7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ont>
        <b val="1"/>
        <color rgb="007A0E0E"/>
      </font>
      <fill>
        <patternFill patternType="solid">
          <fgColor rgb="00F4C7C3"/>
        </patternFill>
      </fill>
    </dxf>
    <dxf>
      <font>
        <b val="1"/>
        <color rgb="007A0E0E"/>
      </font>
      <fill>
        <patternFill patternType="solid">
          <fgColor rgb="00FCE4D6"/>
        </patternFill>
      </fill>
    </dxf>
    <dxf>
      <font>
        <color rgb="005B6B52"/>
      </font>
      <fill>
        <patternFill patternType="solid">
          <fgColor rgb="00E8F0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</cols>
  <sheetData>
    <row r="1">
      <c r="A1" s="1" t="inlineStr">
        <is>
          <t>Tổng quan lỗi</t>
        </is>
      </c>
    </row>
    <row r="2">
      <c r="A2" s="2" t="inlineStr">
        <is>
          <t>Tự cập nhật theo sheet “Danh sách lỗi”. Không nhập vào sheet này.</t>
        </is>
      </c>
    </row>
    <row r="4">
      <c r="A4" s="3" t="inlineStr">
        <is>
          <t>Chỉ số</t>
        </is>
      </c>
      <c r="B4" s="3" t="inlineStr">
        <is>
          <t>Giá trị</t>
        </is>
      </c>
    </row>
    <row r="5">
      <c r="A5" s="4" t="inlineStr">
        <is>
          <t>Tổng số lỗi</t>
        </is>
      </c>
      <c r="B5" s="5">
        <f>COUNTA('Danh sách lỗi'!$A$2:$A$301)</f>
        <v/>
      </c>
    </row>
    <row r="6">
      <c r="A6" s="4" t="inlineStr">
        <is>
          <t>Đang mở</t>
        </is>
      </c>
      <c r="B6" s="5">
        <f>B5-B7</f>
        <v/>
      </c>
    </row>
    <row r="7">
      <c r="A7" s="4" t="inlineStr">
        <is>
          <t>Đã đóng</t>
        </is>
      </c>
      <c r="B7" s="5">
        <f>COUNTIF('Danh sách lỗi'!$N$2:$N$301,"Đã sửa")+COUNTIF('Danh sách lỗi'!$N$2:$N$301,"Không tái hiện được")+COUNTIF('Danh sách lỗi'!$N$2:$N$301,"Không sửa")+COUNTIF('Danh sách lỗi'!$N$2:$N$301,"Trùng lặp")</f>
        <v/>
      </c>
    </row>
    <row r="8">
      <c r="A8" s="4" t="inlineStr">
        <is>
          <t>Đang mở – Nghiêm trọng hoặc Cao</t>
        </is>
      </c>
      <c r="B8" s="5">
        <f>COUNTIF('Danh sách lỗi'!$G$2:$G$301,"Nghiêm trọng")+COUNTIF('Danh sách lỗi'!$G$2:$G$301,"Cao")-SUMPRODUCT((('Danh sách lỗi'!$G$2:$G$301="Nghiêm trọng")+('Danh sách lỗi'!$G$2:$G$301="Cao"))*ISNUMBER(MATCH('Danh sách lỗi'!$N$2:$N$301,$A$46:$A$49,0)))</f>
        <v/>
      </c>
    </row>
    <row r="9">
      <c r="A9" s="4" t="inlineStr">
        <is>
          <t>Số ngày mở trung bình (lỗi chưa có ngày đóng)</t>
        </is>
      </c>
      <c r="B9" s="6">
        <f>IFERROR(AVERAGEIFS('Danh sách lỗi'!$Q$2:$Q$301,'Danh sách lỗi'!$B$2:$B$301,"&lt;&gt;",'Danh sách lỗi'!$P$2:$P$301,""),0)</f>
        <v/>
      </c>
    </row>
    <row r="11">
      <c r="A11" s="3" t="inlineStr">
        <is>
          <t>Trạng thái</t>
        </is>
      </c>
      <c r="B11" s="3" t="inlineStr">
        <is>
          <t>Số lỗi</t>
        </is>
      </c>
    </row>
    <row r="12">
      <c r="A12" s="4" t="inlineStr">
        <is>
          <t>Mới</t>
        </is>
      </c>
      <c r="B12" s="4">
        <f>COUNTIF('Danh sách lỗi'!$N$2:$N$301,A12)</f>
        <v/>
      </c>
    </row>
    <row r="13">
      <c r="A13" s="4" t="inlineStr">
        <is>
          <t>Đã xác nhận</t>
        </is>
      </c>
      <c r="B13" s="4">
        <f>COUNTIF('Danh sách lỗi'!$N$2:$N$301,A13)</f>
        <v/>
      </c>
    </row>
    <row r="14">
      <c r="A14" s="4" t="inlineStr">
        <is>
          <t>Đang xử lý</t>
        </is>
      </c>
      <c r="B14" s="4">
        <f>COUNTIF('Danh sách lỗi'!$N$2:$N$301,A14)</f>
        <v/>
      </c>
    </row>
    <row r="15">
      <c r="A15" s="4" t="inlineStr">
        <is>
          <t>Chờ kiểm tra</t>
        </is>
      </c>
      <c r="B15" s="4">
        <f>COUNTIF('Danh sách lỗi'!$N$2:$N$301,A15)</f>
        <v/>
      </c>
    </row>
    <row r="16">
      <c r="A16" s="4" t="inlineStr">
        <is>
          <t>Đã sửa</t>
        </is>
      </c>
      <c r="B16" s="4">
        <f>COUNTIF('Danh sách lỗi'!$N$2:$N$301,A16)</f>
        <v/>
      </c>
    </row>
    <row r="17">
      <c r="A17" s="4" t="inlineStr">
        <is>
          <t>Không tái hiện được</t>
        </is>
      </c>
      <c r="B17" s="4">
        <f>COUNTIF('Danh sách lỗi'!$N$2:$N$301,A17)</f>
        <v/>
      </c>
    </row>
    <row r="18">
      <c r="A18" s="4" t="inlineStr">
        <is>
          <t>Không sửa</t>
        </is>
      </c>
      <c r="B18" s="4">
        <f>COUNTIF('Danh sách lỗi'!$N$2:$N$301,A18)</f>
        <v/>
      </c>
    </row>
    <row r="19">
      <c r="A19" s="4" t="inlineStr">
        <is>
          <t>Trùng lặp</t>
        </is>
      </c>
      <c r="B19" s="4">
        <f>COUNTIF('Danh sách lỗi'!$N$2:$N$301,A19)</f>
        <v/>
      </c>
    </row>
    <row r="21">
      <c r="A21" s="3" t="inlineStr">
        <is>
          <t>Mức độ</t>
        </is>
      </c>
      <c r="B21" s="3" t="inlineStr">
        <is>
          <t>Tổng</t>
        </is>
      </c>
      <c r="C21" s="3" t="inlineStr">
        <is>
          <t>Đang mở</t>
        </is>
      </c>
    </row>
    <row r="22">
      <c r="A22" s="4" t="inlineStr">
        <is>
          <t>Nghiêm trọng</t>
        </is>
      </c>
      <c r="B22" s="4">
        <f>COUNTIF('Danh sách lỗi'!$G$2:$G$301,A22)</f>
        <v/>
      </c>
      <c r="C22" s="4">
        <f>B22-SUMPRODUCT(('Danh sách lỗi'!$G$2:$G$301=A22)*ISNUMBER(MATCH('Danh sách lỗi'!$N$2:$N$301,$A$46:$A$49,0)))</f>
        <v/>
      </c>
    </row>
    <row r="23">
      <c r="A23" s="4" t="inlineStr">
        <is>
          <t>Cao</t>
        </is>
      </c>
      <c r="B23" s="4">
        <f>COUNTIF('Danh sách lỗi'!$G$2:$G$301,A23)</f>
        <v/>
      </c>
      <c r="C23" s="4">
        <f>B23-SUMPRODUCT(('Danh sách lỗi'!$G$2:$G$301=A23)*ISNUMBER(MATCH('Danh sách lỗi'!$N$2:$N$301,$A$46:$A$49,0)))</f>
        <v/>
      </c>
    </row>
    <row r="24">
      <c r="A24" s="4" t="inlineStr">
        <is>
          <t>Trung bình</t>
        </is>
      </c>
      <c r="B24" s="4">
        <f>COUNTIF('Danh sách lỗi'!$G$2:$G$301,A24)</f>
        <v/>
      </c>
      <c r="C24" s="4">
        <f>B24-SUMPRODUCT(('Danh sách lỗi'!$G$2:$G$301=A24)*ISNUMBER(MATCH('Danh sách lỗi'!$N$2:$N$301,$A$46:$A$49,0)))</f>
        <v/>
      </c>
    </row>
    <row r="25">
      <c r="A25" s="4" t="inlineStr">
        <is>
          <t>Thấp</t>
        </is>
      </c>
      <c r="B25" s="4">
        <f>COUNTIF('Danh sách lỗi'!$G$2:$G$301,A25)</f>
        <v/>
      </c>
      <c r="C25" s="4">
        <f>B25-SUMPRODUCT(('Danh sách lỗi'!$G$2:$G$301=A25)*ISNUMBER(MATCH('Danh sách lỗi'!$N$2:$N$301,$A$46:$A$49,0)))</f>
        <v/>
      </c>
    </row>
    <row r="27">
      <c r="A27" s="3" t="inlineStr">
        <is>
          <t>Phần bị ảnh hưởng</t>
        </is>
      </c>
      <c r="B27" s="3" t="inlineStr">
        <is>
          <t>Tổng</t>
        </is>
      </c>
      <c r="C27" s="3" t="inlineStr">
        <is>
          <t>Đang mở</t>
        </is>
      </c>
    </row>
    <row r="28">
      <c r="A28" s="4" t="inlineStr">
        <is>
          <t>Cài đặt skill</t>
        </is>
      </c>
      <c r="B28" s="4">
        <f>COUNTIF('Danh sách lỗi'!$E$2:$E$301,A28)</f>
        <v/>
      </c>
      <c r="C28" s="4">
        <f>B28-SUMPRODUCT(('Danh sách lỗi'!$E$2:$E$301=A28)*ISNUMBER(MATCH('Danh sách lỗi'!$N$2:$N$301,$A$46:$A$49,0)))</f>
        <v/>
      </c>
    </row>
    <row r="29">
      <c r="A29" s="4" t="inlineStr">
        <is>
          <t>SKILL.md / cách gọi skill</t>
        </is>
      </c>
      <c r="B29" s="4">
        <f>COUNTIF('Danh sách lỗi'!$E$2:$E$301,A29)</f>
        <v/>
      </c>
      <c r="C29" s="4">
        <f>B29-SUMPRODUCT(('Danh sách lỗi'!$E$2:$E$301=A29)*ISNUMBER(MATCH('Danh sách lỗi'!$N$2:$N$301,$A$46:$A$49,0)))</f>
        <v/>
      </c>
    </row>
    <row r="30">
      <c r="A30" s="4" t="inlineStr">
        <is>
          <t>references/</t>
        </is>
      </c>
      <c r="B30" s="4">
        <f>COUNTIF('Danh sách lỗi'!$E$2:$E$301,A30)</f>
        <v/>
      </c>
      <c r="C30" s="4">
        <f>B30-SUMPRODUCT(('Danh sách lỗi'!$E$2:$E$301=A30)*ISNUMBER(MATCH('Danh sách lỗi'!$N$2:$N$301,$A$46:$A$49,0)))</f>
        <v/>
      </c>
    </row>
    <row r="31">
      <c r="A31" s="4" t="inlineStr">
        <is>
          <t>assets/project/</t>
        </is>
      </c>
      <c r="B31" s="4">
        <f>COUNTIF('Danh sách lỗi'!$E$2:$E$301,A31)</f>
        <v/>
      </c>
      <c r="C31" s="4">
        <f>B31-SUMPRODUCT(('Danh sách lỗi'!$E$2:$E$301=A31)*ISNUMBER(MATCH('Danh sách lỗi'!$N$2:$N$301,$A$46:$A$49,0)))</f>
        <v/>
      </c>
    </row>
    <row r="32">
      <c r="A32" s="4" t="inlineStr">
        <is>
          <t>Design token</t>
        </is>
      </c>
      <c r="B32" s="4">
        <f>COUNTIF('Danh sách lỗi'!$E$2:$E$301,A32)</f>
        <v/>
      </c>
      <c r="C32" s="4">
        <f>B32-SUMPRODUCT(('Danh sách lỗi'!$E$2:$E$301=A32)*ISNUMBER(MATCH('Danh sách lỗi'!$N$2:$N$301,$A$46:$A$49,0)))</f>
        <v/>
      </c>
    </row>
    <row r="33">
      <c r="A33" s="4" t="inlineStr">
        <is>
          <t>new_project.py</t>
        </is>
      </c>
      <c r="B33" s="4">
        <f>COUNTIF('Danh sách lỗi'!$E$2:$E$301,A33)</f>
        <v/>
      </c>
      <c r="C33" s="4">
        <f>B33-SUMPRODUCT(('Danh sách lỗi'!$E$2:$E$301=A33)*ISNUMBER(MATCH('Danh sách lỗi'!$N$2:$N$301,$A$46:$A$49,0)))</f>
        <v/>
      </c>
    </row>
    <row r="34">
      <c r="A34" s="4" t="inlineStr">
        <is>
          <t>check_tokens.py</t>
        </is>
      </c>
      <c r="B34" s="4">
        <f>COUNTIF('Danh sách lỗi'!$E$2:$E$301,A34)</f>
        <v/>
      </c>
      <c r="C34" s="4">
        <f>B34-SUMPRODUCT(('Danh sách lỗi'!$E$2:$E$301=A34)*ISNUMBER(MATCH('Danh sách lỗi'!$N$2:$N$301,$A$46:$A$49,0)))</f>
        <v/>
      </c>
    </row>
    <row r="35">
      <c r="A35" s="4" t="inlineStr">
        <is>
          <t>Figma MCP</t>
        </is>
      </c>
      <c r="B35" s="4">
        <f>COUNTIF('Danh sách lỗi'!$E$2:$E$301,A35)</f>
        <v/>
      </c>
      <c r="C35" s="4">
        <f>B35-SUMPRODUCT(('Danh sách lỗi'!$E$2:$E$301=A35)*ISNUMBER(MATCH('Danh sách lỗi'!$N$2:$N$301,$A$46:$A$49,0)))</f>
        <v/>
      </c>
    </row>
    <row r="36">
      <c r="A36" s="4" t="inlineStr">
        <is>
          <t>Tavily</t>
        </is>
      </c>
      <c r="B36" s="4">
        <f>COUNTIF('Danh sách lỗi'!$E$2:$E$301,A36)</f>
        <v/>
      </c>
      <c r="C36" s="4">
        <f>B36-SUMPRODUCT(('Danh sách lỗi'!$E$2:$E$301=A36)*ISNUMBER(MATCH('Danh sách lỗi'!$N$2:$N$301,$A$46:$A$49,0)))</f>
        <v/>
      </c>
    </row>
    <row r="37">
      <c r="A37" s="4" t="inlineStr">
        <is>
          <t>Antigravity</t>
        </is>
      </c>
      <c r="B37" s="4">
        <f>COUNTIF('Danh sách lỗi'!$E$2:$E$301,A37)</f>
        <v/>
      </c>
      <c r="C37" s="4">
        <f>B37-SUMPRODUCT(('Danh sách lỗi'!$E$2:$E$301=A37)*ISNUMBER(MATCH('Danh sách lỗi'!$N$2:$N$301,$A$46:$A$49,0)))</f>
        <v/>
      </c>
    </row>
    <row r="38">
      <c r="A38" s="4" t="inlineStr">
        <is>
          <t>Style Văn Minh Việt</t>
        </is>
      </c>
      <c r="B38" s="4">
        <f>COUNTIF('Danh sách lỗi'!$E$2:$E$301,A38)</f>
        <v/>
      </c>
      <c r="C38" s="4">
        <f>B38-SUMPRODUCT(('Danh sách lỗi'!$E$2:$E$301=A38)*ISNUMBER(MATCH('Danh sách lỗi'!$N$2:$N$301,$A$46:$A$49,0)))</f>
        <v/>
      </c>
    </row>
    <row r="39">
      <c r="A39" s="4" t="inlineStr">
        <is>
          <t>README / tài liệu</t>
        </is>
      </c>
      <c r="B39" s="4">
        <f>COUNTIF('Danh sách lỗi'!$E$2:$E$301,A39)</f>
        <v/>
      </c>
      <c r="C39" s="4">
        <f>B39-SUMPRODUCT(('Danh sách lỗi'!$E$2:$E$301=A39)*ISNUMBER(MATCH('Danh sách lỗi'!$N$2:$N$301,$A$46:$A$49,0)))</f>
        <v/>
      </c>
    </row>
    <row r="40">
      <c r="A40" s="4" t="inlineStr">
        <is>
          <t>Khác</t>
        </is>
      </c>
      <c r="B40" s="4">
        <f>COUNTIF('Danh sách lỗi'!$E$2:$E$301,A40)</f>
        <v/>
      </c>
      <c r="C40" s="4">
        <f>B40-SUMPRODUCT(('Danh sách lỗi'!$E$2:$E$301=A40)*ISNUMBER(MATCH('Danh sách lỗi'!$N$2:$N$301,$A$46:$A$49,0)))</f>
        <v/>
      </c>
    </row>
    <row r="45">
      <c r="A45" s="2" t="inlineStr">
        <is>
          <t>Trạng thái được tính là đã đóng (dùng cho công thức)</t>
        </is>
      </c>
    </row>
    <row r="46">
      <c r="A46" s="7" t="inlineStr">
        <is>
          <t>Đã sửa</t>
        </is>
      </c>
    </row>
    <row r="47">
      <c r="A47" s="7" t="inlineStr">
        <is>
          <t>Không tái hiện được</t>
        </is>
      </c>
    </row>
    <row r="48">
      <c r="A48" s="7" t="inlineStr">
        <is>
          <t>Không sửa</t>
        </is>
      </c>
    </row>
    <row r="49">
      <c r="A49" s="7" t="inlineStr">
        <is>
          <t>Trùng lặp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8" t="inlineStr">
        <is>
          <t>Bảng theo dõi lỗi – UI/UX Workflow Skills</t>
        </is>
      </c>
      <c r="B1" s="9" t="n"/>
    </row>
    <row r="2">
      <c r="A2" s="9" t="n"/>
      <c r="B2" s="9" t="n"/>
    </row>
    <row r="3">
      <c r="A3" s="10" t="inlineStr">
        <is>
          <t>Cách dùng</t>
        </is>
      </c>
      <c r="B3" s="9" t="n"/>
    </row>
    <row r="4">
      <c r="A4" s="9" t="inlineStr">
        <is>
          <t>1.</t>
        </is>
      </c>
      <c r="B4" s="9" t="inlineStr">
        <is>
          <t>Mỗi lỗi ghi một dòng trong sheet “Danh sách lỗi”, bắt đầu từ dòng 3 (dòng 2 là ví dụ, có thể xoá).</t>
        </is>
      </c>
    </row>
    <row r="5">
      <c r="A5" s="9" t="inlineStr">
        <is>
          <t>2.</t>
        </is>
      </c>
      <c r="B5" s="9" t="inlineStr">
        <is>
          <t>Chỉ nhập vào các ô nền vàng nhạt. Cột “Số ngày mở” tự tính, đừng gõ đè.</t>
        </is>
      </c>
    </row>
    <row r="6">
      <c r="A6" s="9" t="inlineStr">
        <is>
          <t>3.</t>
        </is>
      </c>
      <c r="B6" s="9" t="inlineStr">
        <is>
          <t>Các cột Phần bị ảnh hưởng, Môi trường, Mức độ, Ưu tiên, Trạng thái chọn từ danh sách thả xuống.</t>
        </is>
      </c>
    </row>
    <row r="7">
      <c r="A7" s="9" t="inlineStr">
        <is>
          <t>4.</t>
        </is>
      </c>
      <c r="B7" s="9" t="inlineStr">
        <is>
          <t>Ngày nhập theo dạng dd/mm/yyyy. Mã lỗi theo dạng BUG-001, BUG-002…</t>
        </is>
      </c>
    </row>
    <row r="8">
      <c r="A8" s="9" t="inlineStr">
        <is>
          <t>5.</t>
        </is>
      </c>
      <c r="B8" s="9" t="inlineStr">
        <is>
          <t>Không dán API key, token Figma/Tavily, mật khẩu hay dữ liệu người dùng thật.</t>
        </is>
      </c>
    </row>
    <row r="9">
      <c r="A9" s="9" t="inlineStr">
        <is>
          <t>6.</t>
        </is>
      </c>
      <c r="B9" s="9" t="inlineStr">
        <is>
          <t>Nếu lỗi đã tạo issue trên GitHub, dán link vào cột “Link GitHub issue”.</t>
        </is>
      </c>
    </row>
    <row r="10">
      <c r="A10" s="9" t="n"/>
      <c r="B10" s="9" t="n"/>
    </row>
    <row r="11">
      <c r="A11" s="10" t="inlineStr">
        <is>
          <t>Mức độ</t>
        </is>
      </c>
      <c r="B11" s="9" t="n"/>
    </row>
    <row r="12">
      <c r="A12" s="11" t="inlineStr">
        <is>
          <t>Nghiêm trọng</t>
        </is>
      </c>
      <c r="B12" s="9" t="inlineStr">
        <is>
          <t>Không cài được skill, script hỏng hoàn toàn, hoặc làm lộ/mất dữ liệu.</t>
        </is>
      </c>
    </row>
    <row r="13">
      <c r="A13" s="11" t="inlineStr">
        <is>
          <t>Cao</t>
        </is>
      </c>
      <c r="B13" s="9" t="inlineStr">
        <is>
          <t>Một bước chính của quy trình sai hoặc không chạy được, không có cách né.</t>
        </is>
      </c>
    </row>
    <row r="14">
      <c r="A14" s="11" t="inlineStr">
        <is>
          <t>Trung bình</t>
        </is>
      </c>
      <c r="B14" s="9" t="inlineStr">
        <is>
          <t>Sai nhưng có cách né; kết quả lệch so với hướng dẫn.</t>
        </is>
      </c>
    </row>
    <row r="15">
      <c r="A15" s="11" t="inlineStr">
        <is>
          <t>Thấp</t>
        </is>
      </c>
      <c r="B15" s="9" t="inlineStr">
        <is>
          <t>Lỗi chính tả, trình bày, tài liệu chưa rõ.</t>
        </is>
      </c>
    </row>
    <row r="16">
      <c r="A16" s="9" t="n"/>
      <c r="B16" s="9" t="n"/>
    </row>
    <row r="17">
      <c r="A17" s="11" t="inlineStr">
        <is>
          <t>Trạng thái đã đóng</t>
        </is>
      </c>
      <c r="B17" s="9" t="inlineStr">
        <is>
          <t>Đã sửa, Không tái hiện được, Không sửa, Trùng lặp. Các trạng thái khác được tính là đang mở.</t>
        </is>
      </c>
    </row>
    <row r="19">
      <c r="A19" s="12" t="inlineStr">
        <is>
          <t>Ô nền vàng nhạt = ô cần nhập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36" customWidth="1" min="4" max="4"/>
    <col width="22" customWidth="1" min="5" max="5"/>
    <col width="16" customWidth="1" min="6" max="6"/>
    <col width="13" customWidth="1" min="7" max="7"/>
    <col width="9" customWidth="1" min="8" max="8"/>
    <col width="42" customWidth="1" min="9" max="9"/>
    <col width="30" customWidth="1" min="10" max="10"/>
    <col width="30" customWidth="1" min="11" max="11"/>
    <col width="14" customWidth="1" min="12" max="12"/>
    <col width="26" customWidth="1" min="13" max="13"/>
    <col width="16" customWidth="1" min="14" max="14"/>
    <col width="16" customWidth="1" min="15" max="15"/>
    <col width="12" customWidth="1" min="16" max="16"/>
    <col width="11" customWidth="1" min="17" max="17"/>
    <col width="28" customWidth="1" min="18" max="18"/>
    <col width="30" customWidth="1" min="19" max="19"/>
  </cols>
  <sheetData>
    <row r="1" ht="32" customHeight="1">
      <c r="A1" s="13" t="inlineStr">
        <is>
          <t>Mã lỗi</t>
        </is>
      </c>
      <c r="B1" s="13" t="inlineStr">
        <is>
          <t>Ngày báo</t>
        </is>
      </c>
      <c r="C1" s="13" t="inlineStr">
        <is>
          <t>Người báo</t>
        </is>
      </c>
      <c r="D1" s="13" t="inlineStr">
        <is>
          <t>Tiêu đề</t>
        </is>
      </c>
      <c r="E1" s="13" t="inlineStr">
        <is>
          <t>Phần bị ảnh hưởng</t>
        </is>
      </c>
      <c r="F1" s="13" t="inlineStr">
        <is>
          <t>Môi trường</t>
        </is>
      </c>
      <c r="G1" s="13" t="inlineStr">
        <is>
          <t>Mức độ</t>
        </is>
      </c>
      <c r="H1" s="13" t="inlineStr">
        <is>
          <t>Ưu tiên</t>
        </is>
      </c>
      <c r="I1" s="13" t="inlineStr">
        <is>
          <t>Các bước tái hiện</t>
        </is>
      </c>
      <c r="J1" s="13" t="inlineStr">
        <is>
          <t>Kết quả mong đợi</t>
        </is>
      </c>
      <c r="K1" s="13" t="inlineStr">
        <is>
          <t>Kết quả thực tế</t>
        </is>
      </c>
      <c r="L1" s="13" t="inlineStr">
        <is>
          <t>Commit / phiên bản</t>
        </is>
      </c>
      <c r="M1" s="13" t="inlineStr">
        <is>
          <t>Ảnh / log / link bằng chứng</t>
        </is>
      </c>
      <c r="N1" s="13" t="inlineStr">
        <is>
          <t>Trạng thái</t>
        </is>
      </c>
      <c r="O1" s="13" t="inlineStr">
        <is>
          <t>Người xử lý</t>
        </is>
      </c>
      <c r="P1" s="13" t="inlineStr">
        <is>
          <t>Ngày đóng</t>
        </is>
      </c>
      <c r="Q1" s="13" t="inlineStr">
        <is>
          <t>Số ngày mở</t>
        </is>
      </c>
      <c r="R1" s="13" t="inlineStr">
        <is>
          <t>Link GitHub issue</t>
        </is>
      </c>
      <c r="S1" s="13" t="inlineStr">
        <is>
          <t>Ghi chú</t>
        </is>
      </c>
    </row>
    <row r="2">
      <c r="A2" s="14" t="inlineStr">
        <is>
          <t>BUG-001</t>
        </is>
      </c>
      <c r="B2" s="15" t="n">
        <v>46318</v>
      </c>
      <c r="C2" s="14" t="inlineStr">
        <is>
          <t>nhandan28</t>
        </is>
      </c>
      <c r="D2" s="14" t="inlineStr">
        <is>
          <t>new_project.py lỗi mã hoá khi tên dự án có dấu</t>
        </is>
      </c>
      <c r="E2" s="14" t="inlineStr">
        <is>
          <t>new_project.py</t>
        </is>
      </c>
      <c r="F2" s="14" t="inlineStr">
        <is>
          <t>Codex</t>
        </is>
      </c>
      <c r="G2" s="14" t="inlineStr">
        <is>
          <t>Cao</t>
        </is>
      </c>
      <c r="H2" s="14" t="inlineStr">
        <is>
          <t>P2</t>
        </is>
      </c>
      <c r="I2" s="14" t="inlineStr">
        <is>
          <t>1. Chạy: python scripts/new_project.py "Bảo tàng số"
2. Xem thư mục được tạo</t>
        </is>
      </c>
      <c r="J2" s="14" t="inlineStr">
        <is>
          <t>Tạo thư mục hồ sơ dự án với tên có dấu đúng</t>
        </is>
      </c>
      <c r="K2" s="14" t="inlineStr">
        <is>
          <t>Báo UnicodeEncodeError, không tạo thư mục</t>
        </is>
      </c>
      <c r="L2" s="14" t="inlineStr">
        <is>
          <t>70d7fe1</t>
        </is>
      </c>
      <c r="M2" s="14" t="inlineStr">
        <is>
          <t>Ảnh chụp terminal (link Drive)</t>
        </is>
      </c>
      <c r="N2" s="14" t="inlineStr">
        <is>
          <t>Đang xử lý</t>
        </is>
      </c>
      <c r="O2" s="14" t="inlineStr"/>
      <c r="P2" s="15" t="n"/>
      <c r="Q2" s="16">
        <f>IF(B2="","",IF(P2="",TODAY()-B2,P2-B2))</f>
        <v/>
      </c>
      <c r="R2" s="14" t="inlineStr"/>
      <c r="S2" s="14" t="inlineStr">
        <is>
          <t>Chỉ gặp trên Windows PowerShell 5</t>
        </is>
      </c>
    </row>
    <row r="3">
      <c r="A3" s="17" t="n"/>
      <c r="B3" s="18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8" t="n"/>
      <c r="Q3" s="19">
        <f>IF(B3="","",IF(P3="",TODAY()-B3,P3-B3))</f>
        <v/>
      </c>
      <c r="R3" s="17" t="n"/>
      <c r="S3" s="17" t="n"/>
    </row>
    <row r="4">
      <c r="A4" s="17" t="n"/>
      <c r="B4" s="18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8" t="n"/>
      <c r="Q4" s="19">
        <f>IF(B4="","",IF(P4="",TODAY()-B4,P4-B4))</f>
        <v/>
      </c>
      <c r="R4" s="17" t="n"/>
      <c r="S4" s="17" t="n"/>
    </row>
    <row r="5">
      <c r="A5" s="17" t="n"/>
      <c r="B5" s="18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8" t="n"/>
      <c r="Q5" s="19">
        <f>IF(B5="","",IF(P5="",TODAY()-B5,P5-B5))</f>
        <v/>
      </c>
      <c r="R5" s="17" t="n"/>
      <c r="S5" s="17" t="n"/>
    </row>
    <row r="6">
      <c r="A6" s="17" t="n"/>
      <c r="B6" s="18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8" t="n"/>
      <c r="Q6" s="19">
        <f>IF(B6="","",IF(P6="",TODAY()-B6,P6-B6))</f>
        <v/>
      </c>
      <c r="R6" s="17" t="n"/>
      <c r="S6" s="17" t="n"/>
    </row>
    <row r="7">
      <c r="A7" s="17" t="n"/>
      <c r="B7" s="18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8" t="n"/>
      <c r="Q7" s="19">
        <f>IF(B7="","",IF(P7="",TODAY()-B7,P7-B7))</f>
        <v/>
      </c>
      <c r="R7" s="17" t="n"/>
      <c r="S7" s="17" t="n"/>
    </row>
    <row r="8">
      <c r="A8" s="17" t="n"/>
      <c r="B8" s="18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8" t="n"/>
      <c r="Q8" s="19">
        <f>IF(B8="","",IF(P8="",TODAY()-B8,P8-B8))</f>
        <v/>
      </c>
      <c r="R8" s="17" t="n"/>
      <c r="S8" s="17" t="n"/>
    </row>
    <row r="9">
      <c r="A9" s="17" t="n"/>
      <c r="B9" s="18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8" t="n"/>
      <c r="Q9" s="19">
        <f>IF(B9="","",IF(P9="",TODAY()-B9,P9-B9))</f>
        <v/>
      </c>
      <c r="R9" s="17" t="n"/>
      <c r="S9" s="17" t="n"/>
    </row>
    <row r="10">
      <c r="A10" s="17" t="n"/>
      <c r="B10" s="18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8" t="n"/>
      <c r="Q10" s="19">
        <f>IF(B10="","",IF(P10="",TODAY()-B10,P10-B10))</f>
        <v/>
      </c>
      <c r="R10" s="17" t="n"/>
      <c r="S10" s="17" t="n"/>
    </row>
    <row r="11">
      <c r="A11" s="17" t="n"/>
      <c r="B11" s="18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8" t="n"/>
      <c r="Q11" s="19">
        <f>IF(B11="","",IF(P11="",TODAY()-B11,P11-B11))</f>
        <v/>
      </c>
      <c r="R11" s="17" t="n"/>
      <c r="S11" s="17" t="n"/>
    </row>
    <row r="12">
      <c r="A12" s="17" t="n"/>
      <c r="B12" s="18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8" t="n"/>
      <c r="Q12" s="19">
        <f>IF(B12="","",IF(P12="",TODAY()-B12,P12-B12))</f>
        <v/>
      </c>
      <c r="R12" s="17" t="n"/>
      <c r="S12" s="17" t="n"/>
    </row>
    <row r="13">
      <c r="A13" s="17" t="n"/>
      <c r="B13" s="18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8" t="n"/>
      <c r="Q13" s="19">
        <f>IF(B13="","",IF(P13="",TODAY()-B13,P13-B13))</f>
        <v/>
      </c>
      <c r="R13" s="17" t="n"/>
      <c r="S13" s="17" t="n"/>
    </row>
    <row r="14">
      <c r="A14" s="17" t="n"/>
      <c r="B14" s="18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8" t="n"/>
      <c r="Q14" s="19">
        <f>IF(B14="","",IF(P14="",TODAY()-B14,P14-B14))</f>
        <v/>
      </c>
      <c r="R14" s="17" t="n"/>
      <c r="S14" s="17" t="n"/>
    </row>
    <row r="15">
      <c r="A15" s="17" t="n"/>
      <c r="B15" s="18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8" t="n"/>
      <c r="Q15" s="19">
        <f>IF(B15="","",IF(P15="",TODAY()-B15,P15-B15))</f>
        <v/>
      </c>
      <c r="R15" s="17" t="n"/>
      <c r="S15" s="17" t="n"/>
    </row>
    <row r="16">
      <c r="A16" s="17" t="n"/>
      <c r="B16" s="18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8" t="n"/>
      <c r="Q16" s="19">
        <f>IF(B16="","",IF(P16="",TODAY()-B16,P16-B16))</f>
        <v/>
      </c>
      <c r="R16" s="17" t="n"/>
      <c r="S16" s="17" t="n"/>
    </row>
    <row r="17">
      <c r="A17" s="17" t="n"/>
      <c r="B17" s="18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8" t="n"/>
      <c r="Q17" s="19">
        <f>IF(B17="","",IF(P17="",TODAY()-B17,P17-B17))</f>
        <v/>
      </c>
      <c r="R17" s="17" t="n"/>
      <c r="S17" s="17" t="n"/>
    </row>
    <row r="18">
      <c r="A18" s="17" t="n"/>
      <c r="B18" s="18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8" t="n"/>
      <c r="Q18" s="19">
        <f>IF(B18="","",IF(P18="",TODAY()-B18,P18-B18))</f>
        <v/>
      </c>
      <c r="R18" s="17" t="n"/>
      <c r="S18" s="17" t="n"/>
    </row>
    <row r="19">
      <c r="A19" s="17" t="n"/>
      <c r="B19" s="18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8" t="n"/>
      <c r="Q19" s="19">
        <f>IF(B19="","",IF(P19="",TODAY()-B19,P19-B19))</f>
        <v/>
      </c>
      <c r="R19" s="17" t="n"/>
      <c r="S19" s="17" t="n"/>
    </row>
    <row r="20">
      <c r="A20" s="17" t="n"/>
      <c r="B20" s="18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8" t="n"/>
      <c r="Q20" s="19">
        <f>IF(B20="","",IF(P20="",TODAY()-B20,P20-B20))</f>
        <v/>
      </c>
      <c r="R20" s="17" t="n"/>
      <c r="S20" s="17" t="n"/>
    </row>
    <row r="21">
      <c r="A21" s="17" t="n"/>
      <c r="B21" s="18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8" t="n"/>
      <c r="Q21" s="19">
        <f>IF(B21="","",IF(P21="",TODAY()-B21,P21-B21))</f>
        <v/>
      </c>
      <c r="R21" s="17" t="n"/>
      <c r="S21" s="17" t="n"/>
    </row>
    <row r="22">
      <c r="A22" s="17" t="n"/>
      <c r="B22" s="18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8" t="n"/>
      <c r="Q22" s="19">
        <f>IF(B22="","",IF(P22="",TODAY()-B22,P22-B22))</f>
        <v/>
      </c>
      <c r="R22" s="17" t="n"/>
      <c r="S22" s="17" t="n"/>
    </row>
    <row r="23">
      <c r="A23" s="17" t="n"/>
      <c r="B23" s="18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8" t="n"/>
      <c r="Q23" s="19">
        <f>IF(B23="","",IF(P23="",TODAY()-B23,P23-B23))</f>
        <v/>
      </c>
      <c r="R23" s="17" t="n"/>
      <c r="S23" s="17" t="n"/>
    </row>
    <row r="24">
      <c r="A24" s="17" t="n"/>
      <c r="B24" s="18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8" t="n"/>
      <c r="Q24" s="19">
        <f>IF(B24="","",IF(P24="",TODAY()-B24,P24-B24))</f>
        <v/>
      </c>
      <c r="R24" s="17" t="n"/>
      <c r="S24" s="17" t="n"/>
    </row>
    <row r="25">
      <c r="A25" s="17" t="n"/>
      <c r="B25" s="18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8" t="n"/>
      <c r="Q25" s="19">
        <f>IF(B25="","",IF(P25="",TODAY()-B25,P25-B25))</f>
        <v/>
      </c>
      <c r="R25" s="17" t="n"/>
      <c r="S25" s="17" t="n"/>
    </row>
    <row r="26">
      <c r="A26" s="17" t="n"/>
      <c r="B26" s="18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8" t="n"/>
      <c r="Q26" s="19">
        <f>IF(B26="","",IF(P26="",TODAY()-B26,P26-B26))</f>
        <v/>
      </c>
      <c r="R26" s="17" t="n"/>
      <c r="S26" s="17" t="n"/>
    </row>
    <row r="27">
      <c r="A27" s="17" t="n"/>
      <c r="B27" s="18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8" t="n"/>
      <c r="Q27" s="19">
        <f>IF(B27="","",IF(P27="",TODAY()-B27,P27-B27))</f>
        <v/>
      </c>
      <c r="R27" s="17" t="n"/>
      <c r="S27" s="17" t="n"/>
    </row>
    <row r="28">
      <c r="A28" s="17" t="n"/>
      <c r="B28" s="18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8" t="n"/>
      <c r="Q28" s="19">
        <f>IF(B28="","",IF(P28="",TODAY()-B28,P28-B28))</f>
        <v/>
      </c>
      <c r="R28" s="17" t="n"/>
      <c r="S28" s="17" t="n"/>
    </row>
    <row r="29">
      <c r="A29" s="17" t="n"/>
      <c r="B29" s="18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8" t="n"/>
      <c r="Q29" s="19">
        <f>IF(B29="","",IF(P29="",TODAY()-B29,P29-B29))</f>
        <v/>
      </c>
      <c r="R29" s="17" t="n"/>
      <c r="S29" s="17" t="n"/>
    </row>
    <row r="30">
      <c r="A30" s="17" t="n"/>
      <c r="B30" s="18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8" t="n"/>
      <c r="Q30" s="19">
        <f>IF(B30="","",IF(P30="",TODAY()-B30,P30-B30))</f>
        <v/>
      </c>
      <c r="R30" s="17" t="n"/>
      <c r="S30" s="17" t="n"/>
    </row>
    <row r="31">
      <c r="A31" s="17" t="n"/>
      <c r="B31" s="18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8" t="n"/>
      <c r="Q31" s="19">
        <f>IF(B31="","",IF(P31="",TODAY()-B31,P31-B31))</f>
        <v/>
      </c>
      <c r="R31" s="17" t="n"/>
      <c r="S31" s="17" t="n"/>
    </row>
    <row r="32">
      <c r="A32" s="17" t="n"/>
      <c r="B32" s="18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8" t="n"/>
      <c r="Q32" s="19">
        <f>IF(B32="","",IF(P32="",TODAY()-B32,P32-B32))</f>
        <v/>
      </c>
      <c r="R32" s="17" t="n"/>
      <c r="S32" s="17" t="n"/>
    </row>
    <row r="33">
      <c r="A33" s="17" t="n"/>
      <c r="B33" s="18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8" t="n"/>
      <c r="Q33" s="19">
        <f>IF(B33="","",IF(P33="",TODAY()-B33,P33-B33))</f>
        <v/>
      </c>
      <c r="R33" s="17" t="n"/>
      <c r="S33" s="17" t="n"/>
    </row>
    <row r="34">
      <c r="A34" s="17" t="n"/>
      <c r="B34" s="18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8" t="n"/>
      <c r="Q34" s="19">
        <f>IF(B34="","",IF(P34="",TODAY()-B34,P34-B34))</f>
        <v/>
      </c>
      <c r="R34" s="17" t="n"/>
      <c r="S34" s="17" t="n"/>
    </row>
    <row r="35">
      <c r="A35" s="17" t="n"/>
      <c r="B35" s="18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8" t="n"/>
      <c r="Q35" s="19">
        <f>IF(B35="","",IF(P35="",TODAY()-B35,P35-B35))</f>
        <v/>
      </c>
      <c r="R35" s="17" t="n"/>
      <c r="S35" s="17" t="n"/>
    </row>
    <row r="36">
      <c r="A36" s="17" t="n"/>
      <c r="B36" s="18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8" t="n"/>
      <c r="Q36" s="19">
        <f>IF(B36="","",IF(P36="",TODAY()-B36,P36-B36))</f>
        <v/>
      </c>
      <c r="R36" s="17" t="n"/>
      <c r="S36" s="17" t="n"/>
    </row>
    <row r="37">
      <c r="A37" s="17" t="n"/>
      <c r="B37" s="18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8" t="n"/>
      <c r="Q37" s="19">
        <f>IF(B37="","",IF(P37="",TODAY()-B37,P37-B37))</f>
        <v/>
      </c>
      <c r="R37" s="17" t="n"/>
      <c r="S37" s="17" t="n"/>
    </row>
    <row r="38">
      <c r="A38" s="17" t="n"/>
      <c r="B38" s="18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8" t="n"/>
      <c r="Q38" s="19">
        <f>IF(B38="","",IF(P38="",TODAY()-B38,P38-B38))</f>
        <v/>
      </c>
      <c r="R38" s="17" t="n"/>
      <c r="S38" s="17" t="n"/>
    </row>
    <row r="39">
      <c r="A39" s="17" t="n"/>
      <c r="B39" s="18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8" t="n"/>
      <c r="Q39" s="19">
        <f>IF(B39="","",IF(P39="",TODAY()-B39,P39-B39))</f>
        <v/>
      </c>
      <c r="R39" s="17" t="n"/>
      <c r="S39" s="17" t="n"/>
    </row>
    <row r="40">
      <c r="A40" s="17" t="n"/>
      <c r="B40" s="18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8" t="n"/>
      <c r="Q40" s="19">
        <f>IF(B40="","",IF(P40="",TODAY()-B40,P40-B40))</f>
        <v/>
      </c>
      <c r="R40" s="17" t="n"/>
      <c r="S40" s="17" t="n"/>
    </row>
    <row r="41">
      <c r="A41" s="17" t="n"/>
      <c r="B41" s="18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8" t="n"/>
      <c r="Q41" s="19">
        <f>IF(B41="","",IF(P41="",TODAY()-B41,P41-B41))</f>
        <v/>
      </c>
      <c r="R41" s="17" t="n"/>
      <c r="S41" s="17" t="n"/>
    </row>
    <row r="42">
      <c r="A42" s="17" t="n"/>
      <c r="B42" s="18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8" t="n"/>
      <c r="Q42" s="19">
        <f>IF(B42="","",IF(P42="",TODAY()-B42,P42-B42))</f>
        <v/>
      </c>
      <c r="R42" s="17" t="n"/>
      <c r="S42" s="17" t="n"/>
    </row>
    <row r="43">
      <c r="A43" s="17" t="n"/>
      <c r="B43" s="18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8" t="n"/>
      <c r="Q43" s="19">
        <f>IF(B43="","",IF(P43="",TODAY()-B43,P43-B43))</f>
        <v/>
      </c>
      <c r="R43" s="17" t="n"/>
      <c r="S43" s="17" t="n"/>
    </row>
    <row r="44">
      <c r="A44" s="17" t="n"/>
      <c r="B44" s="18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8" t="n"/>
      <c r="Q44" s="19">
        <f>IF(B44="","",IF(P44="",TODAY()-B44,P44-B44))</f>
        <v/>
      </c>
      <c r="R44" s="17" t="n"/>
      <c r="S44" s="17" t="n"/>
    </row>
    <row r="45">
      <c r="A45" s="17" t="n"/>
      <c r="B45" s="18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8" t="n"/>
      <c r="Q45" s="19">
        <f>IF(B45="","",IF(P45="",TODAY()-B45,P45-B45))</f>
        <v/>
      </c>
      <c r="R45" s="17" t="n"/>
      <c r="S45" s="17" t="n"/>
    </row>
    <row r="46">
      <c r="A46" s="17" t="n"/>
      <c r="B46" s="18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8" t="n"/>
      <c r="Q46" s="19">
        <f>IF(B46="","",IF(P46="",TODAY()-B46,P46-B46))</f>
        <v/>
      </c>
      <c r="R46" s="17" t="n"/>
      <c r="S46" s="17" t="n"/>
    </row>
    <row r="47">
      <c r="A47" s="17" t="n"/>
      <c r="B47" s="18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8" t="n"/>
      <c r="Q47" s="19">
        <f>IF(B47="","",IF(P47="",TODAY()-B47,P47-B47))</f>
        <v/>
      </c>
      <c r="R47" s="17" t="n"/>
      <c r="S47" s="17" t="n"/>
    </row>
    <row r="48">
      <c r="A48" s="17" t="n"/>
      <c r="B48" s="18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8" t="n"/>
      <c r="Q48" s="19">
        <f>IF(B48="","",IF(P48="",TODAY()-B48,P48-B48))</f>
        <v/>
      </c>
      <c r="R48" s="17" t="n"/>
      <c r="S48" s="17" t="n"/>
    </row>
    <row r="49">
      <c r="A49" s="17" t="n"/>
      <c r="B49" s="18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8" t="n"/>
      <c r="Q49" s="19">
        <f>IF(B49="","",IF(P49="",TODAY()-B49,P49-B49))</f>
        <v/>
      </c>
      <c r="R49" s="17" t="n"/>
      <c r="S49" s="17" t="n"/>
    </row>
    <row r="50">
      <c r="A50" s="17" t="n"/>
      <c r="B50" s="18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8" t="n"/>
      <c r="Q50" s="19">
        <f>IF(B50="","",IF(P50="",TODAY()-B50,P50-B50))</f>
        <v/>
      </c>
      <c r="R50" s="17" t="n"/>
      <c r="S50" s="17" t="n"/>
    </row>
    <row r="51">
      <c r="A51" s="17" t="n"/>
      <c r="B51" s="18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8" t="n"/>
      <c r="Q51" s="19">
        <f>IF(B51="","",IF(P51="",TODAY()-B51,P51-B51))</f>
        <v/>
      </c>
      <c r="R51" s="17" t="n"/>
      <c r="S51" s="17" t="n"/>
    </row>
    <row r="52">
      <c r="A52" s="17" t="n"/>
      <c r="B52" s="18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8" t="n"/>
      <c r="Q52" s="19">
        <f>IF(B52="","",IF(P52="",TODAY()-B52,P52-B52))</f>
        <v/>
      </c>
      <c r="R52" s="17" t="n"/>
      <c r="S52" s="17" t="n"/>
    </row>
    <row r="53">
      <c r="A53" s="17" t="n"/>
      <c r="B53" s="18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8" t="n"/>
      <c r="Q53" s="19">
        <f>IF(B53="","",IF(P53="",TODAY()-B53,P53-B53))</f>
        <v/>
      </c>
      <c r="R53" s="17" t="n"/>
      <c r="S53" s="17" t="n"/>
    </row>
    <row r="54">
      <c r="A54" s="17" t="n"/>
      <c r="B54" s="18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8" t="n"/>
      <c r="Q54" s="19">
        <f>IF(B54="","",IF(P54="",TODAY()-B54,P54-B54))</f>
        <v/>
      </c>
      <c r="R54" s="17" t="n"/>
      <c r="S54" s="17" t="n"/>
    </row>
    <row r="55">
      <c r="A55" s="17" t="n"/>
      <c r="B55" s="18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8" t="n"/>
      <c r="Q55" s="19">
        <f>IF(B55="","",IF(P55="",TODAY()-B55,P55-B55))</f>
        <v/>
      </c>
      <c r="R55" s="17" t="n"/>
      <c r="S55" s="17" t="n"/>
    </row>
    <row r="56">
      <c r="A56" s="17" t="n"/>
      <c r="B56" s="18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8" t="n"/>
      <c r="Q56" s="19">
        <f>IF(B56="","",IF(P56="",TODAY()-B56,P56-B56))</f>
        <v/>
      </c>
      <c r="R56" s="17" t="n"/>
      <c r="S56" s="17" t="n"/>
    </row>
    <row r="57">
      <c r="A57" s="17" t="n"/>
      <c r="B57" s="18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8" t="n"/>
      <c r="Q57" s="19">
        <f>IF(B57="","",IF(P57="",TODAY()-B57,P57-B57))</f>
        <v/>
      </c>
      <c r="R57" s="17" t="n"/>
      <c r="S57" s="17" t="n"/>
    </row>
    <row r="58">
      <c r="A58" s="17" t="n"/>
      <c r="B58" s="18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8" t="n"/>
      <c r="Q58" s="19">
        <f>IF(B58="","",IF(P58="",TODAY()-B58,P58-B58))</f>
        <v/>
      </c>
      <c r="R58" s="17" t="n"/>
      <c r="S58" s="17" t="n"/>
    </row>
    <row r="59">
      <c r="A59" s="17" t="n"/>
      <c r="B59" s="18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8" t="n"/>
      <c r="Q59" s="19">
        <f>IF(B59="","",IF(P59="",TODAY()-B59,P59-B59))</f>
        <v/>
      </c>
      <c r="R59" s="17" t="n"/>
      <c r="S59" s="17" t="n"/>
    </row>
    <row r="60">
      <c r="A60" s="17" t="n"/>
      <c r="B60" s="18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8" t="n"/>
      <c r="Q60" s="19">
        <f>IF(B60="","",IF(P60="",TODAY()-B60,P60-B60))</f>
        <v/>
      </c>
      <c r="R60" s="17" t="n"/>
      <c r="S60" s="17" t="n"/>
    </row>
    <row r="61">
      <c r="A61" s="17" t="n"/>
      <c r="B61" s="18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8" t="n"/>
      <c r="Q61" s="19">
        <f>IF(B61="","",IF(P61="",TODAY()-B61,P61-B61))</f>
        <v/>
      </c>
      <c r="R61" s="17" t="n"/>
      <c r="S61" s="17" t="n"/>
    </row>
    <row r="62">
      <c r="A62" s="17" t="n"/>
      <c r="B62" s="18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8" t="n"/>
      <c r="Q62" s="19">
        <f>IF(B62="","",IF(P62="",TODAY()-B62,P62-B62))</f>
        <v/>
      </c>
      <c r="R62" s="17" t="n"/>
      <c r="S62" s="17" t="n"/>
    </row>
    <row r="63">
      <c r="A63" s="17" t="n"/>
      <c r="B63" s="18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8" t="n"/>
      <c r="Q63" s="19">
        <f>IF(B63="","",IF(P63="",TODAY()-B63,P63-B63))</f>
        <v/>
      </c>
      <c r="R63" s="17" t="n"/>
      <c r="S63" s="17" t="n"/>
    </row>
    <row r="64">
      <c r="A64" s="17" t="n"/>
      <c r="B64" s="18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8" t="n"/>
      <c r="Q64" s="19">
        <f>IF(B64="","",IF(P64="",TODAY()-B64,P64-B64))</f>
        <v/>
      </c>
      <c r="R64" s="17" t="n"/>
      <c r="S64" s="17" t="n"/>
    </row>
    <row r="65">
      <c r="A65" s="17" t="n"/>
      <c r="B65" s="18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8" t="n"/>
      <c r="Q65" s="19">
        <f>IF(B65="","",IF(P65="",TODAY()-B65,P65-B65))</f>
        <v/>
      </c>
      <c r="R65" s="17" t="n"/>
      <c r="S65" s="17" t="n"/>
    </row>
    <row r="66">
      <c r="A66" s="17" t="n"/>
      <c r="B66" s="18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8" t="n"/>
      <c r="Q66" s="19">
        <f>IF(B66="","",IF(P66="",TODAY()-B66,P66-B66))</f>
        <v/>
      </c>
      <c r="R66" s="17" t="n"/>
      <c r="S66" s="17" t="n"/>
    </row>
    <row r="67">
      <c r="A67" s="17" t="n"/>
      <c r="B67" s="18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8" t="n"/>
      <c r="Q67" s="19">
        <f>IF(B67="","",IF(P67="",TODAY()-B67,P67-B67))</f>
        <v/>
      </c>
      <c r="R67" s="17" t="n"/>
      <c r="S67" s="17" t="n"/>
    </row>
    <row r="68">
      <c r="A68" s="17" t="n"/>
      <c r="B68" s="18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8" t="n"/>
      <c r="Q68" s="19">
        <f>IF(B68="","",IF(P68="",TODAY()-B68,P68-B68))</f>
        <v/>
      </c>
      <c r="R68" s="17" t="n"/>
      <c r="S68" s="17" t="n"/>
    </row>
    <row r="69">
      <c r="A69" s="17" t="n"/>
      <c r="B69" s="18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8" t="n"/>
      <c r="Q69" s="19">
        <f>IF(B69="","",IF(P69="",TODAY()-B69,P69-B69))</f>
        <v/>
      </c>
      <c r="R69" s="17" t="n"/>
      <c r="S69" s="17" t="n"/>
    </row>
    <row r="70">
      <c r="A70" s="17" t="n"/>
      <c r="B70" s="18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8" t="n"/>
      <c r="Q70" s="19">
        <f>IF(B70="","",IF(P70="",TODAY()-B70,P70-B70))</f>
        <v/>
      </c>
      <c r="R70" s="17" t="n"/>
      <c r="S70" s="17" t="n"/>
    </row>
    <row r="71">
      <c r="A71" s="17" t="n"/>
      <c r="B71" s="18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8" t="n"/>
      <c r="Q71" s="19">
        <f>IF(B71="","",IF(P71="",TODAY()-B71,P71-B71))</f>
        <v/>
      </c>
      <c r="R71" s="17" t="n"/>
      <c r="S71" s="17" t="n"/>
    </row>
    <row r="72">
      <c r="A72" s="17" t="n"/>
      <c r="B72" s="18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8" t="n"/>
      <c r="Q72" s="19">
        <f>IF(B72="","",IF(P72="",TODAY()-B72,P72-B72))</f>
        <v/>
      </c>
      <c r="R72" s="17" t="n"/>
      <c r="S72" s="17" t="n"/>
    </row>
    <row r="73">
      <c r="A73" s="17" t="n"/>
      <c r="B73" s="18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8" t="n"/>
      <c r="Q73" s="19">
        <f>IF(B73="","",IF(P73="",TODAY()-B73,P73-B73))</f>
        <v/>
      </c>
      <c r="R73" s="17" t="n"/>
      <c r="S73" s="17" t="n"/>
    </row>
    <row r="74">
      <c r="A74" s="17" t="n"/>
      <c r="B74" s="18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8" t="n"/>
      <c r="Q74" s="19">
        <f>IF(B74="","",IF(P74="",TODAY()-B74,P74-B74))</f>
        <v/>
      </c>
      <c r="R74" s="17" t="n"/>
      <c r="S74" s="17" t="n"/>
    </row>
    <row r="75">
      <c r="A75" s="17" t="n"/>
      <c r="B75" s="18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8" t="n"/>
      <c r="Q75" s="19">
        <f>IF(B75="","",IF(P75="",TODAY()-B75,P75-B75))</f>
        <v/>
      </c>
      <c r="R75" s="17" t="n"/>
      <c r="S75" s="17" t="n"/>
    </row>
    <row r="76">
      <c r="A76" s="17" t="n"/>
      <c r="B76" s="18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8" t="n"/>
      <c r="Q76" s="19">
        <f>IF(B76="","",IF(P76="",TODAY()-B76,P76-B76))</f>
        <v/>
      </c>
      <c r="R76" s="17" t="n"/>
      <c r="S76" s="17" t="n"/>
    </row>
    <row r="77">
      <c r="A77" s="17" t="n"/>
      <c r="B77" s="18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8" t="n"/>
      <c r="Q77" s="19">
        <f>IF(B77="","",IF(P77="",TODAY()-B77,P77-B77))</f>
        <v/>
      </c>
      <c r="R77" s="17" t="n"/>
      <c r="S77" s="17" t="n"/>
    </row>
    <row r="78">
      <c r="A78" s="17" t="n"/>
      <c r="B78" s="18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8" t="n"/>
      <c r="Q78" s="19">
        <f>IF(B78="","",IF(P78="",TODAY()-B78,P78-B78))</f>
        <v/>
      </c>
      <c r="R78" s="17" t="n"/>
      <c r="S78" s="17" t="n"/>
    </row>
    <row r="79">
      <c r="A79" s="17" t="n"/>
      <c r="B79" s="18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8" t="n"/>
      <c r="Q79" s="19">
        <f>IF(B79="","",IF(P79="",TODAY()-B79,P79-B79))</f>
        <v/>
      </c>
      <c r="R79" s="17" t="n"/>
      <c r="S79" s="17" t="n"/>
    </row>
    <row r="80">
      <c r="A80" s="17" t="n"/>
      <c r="B80" s="18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8" t="n"/>
      <c r="Q80" s="19">
        <f>IF(B80="","",IF(P80="",TODAY()-B80,P80-B80))</f>
        <v/>
      </c>
      <c r="R80" s="17" t="n"/>
      <c r="S80" s="17" t="n"/>
    </row>
    <row r="81">
      <c r="A81" s="17" t="n"/>
      <c r="B81" s="18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8" t="n"/>
      <c r="Q81" s="19">
        <f>IF(B81="","",IF(P81="",TODAY()-B81,P81-B81))</f>
        <v/>
      </c>
      <c r="R81" s="17" t="n"/>
      <c r="S81" s="17" t="n"/>
    </row>
    <row r="82">
      <c r="A82" s="17" t="n"/>
      <c r="B82" s="18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8" t="n"/>
      <c r="Q82" s="19">
        <f>IF(B82="","",IF(P82="",TODAY()-B82,P82-B82))</f>
        <v/>
      </c>
      <c r="R82" s="17" t="n"/>
      <c r="S82" s="17" t="n"/>
    </row>
    <row r="83">
      <c r="A83" s="17" t="n"/>
      <c r="B83" s="18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8" t="n"/>
      <c r="Q83" s="19">
        <f>IF(B83="","",IF(P83="",TODAY()-B83,P83-B83))</f>
        <v/>
      </c>
      <c r="R83" s="17" t="n"/>
      <c r="S83" s="17" t="n"/>
    </row>
    <row r="84">
      <c r="A84" s="17" t="n"/>
      <c r="B84" s="18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8" t="n"/>
      <c r="Q84" s="19">
        <f>IF(B84="","",IF(P84="",TODAY()-B84,P84-B84))</f>
        <v/>
      </c>
      <c r="R84" s="17" t="n"/>
      <c r="S84" s="17" t="n"/>
    </row>
    <row r="85">
      <c r="A85" s="17" t="n"/>
      <c r="B85" s="18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8" t="n"/>
      <c r="Q85" s="19">
        <f>IF(B85="","",IF(P85="",TODAY()-B85,P85-B85))</f>
        <v/>
      </c>
      <c r="R85" s="17" t="n"/>
      <c r="S85" s="17" t="n"/>
    </row>
    <row r="86">
      <c r="A86" s="17" t="n"/>
      <c r="B86" s="18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8" t="n"/>
      <c r="Q86" s="19">
        <f>IF(B86="","",IF(P86="",TODAY()-B86,P86-B86))</f>
        <v/>
      </c>
      <c r="R86" s="17" t="n"/>
      <c r="S86" s="17" t="n"/>
    </row>
    <row r="87">
      <c r="A87" s="17" t="n"/>
      <c r="B87" s="18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8" t="n"/>
      <c r="Q87" s="19">
        <f>IF(B87="","",IF(P87="",TODAY()-B87,P87-B87))</f>
        <v/>
      </c>
      <c r="R87" s="17" t="n"/>
      <c r="S87" s="17" t="n"/>
    </row>
    <row r="88">
      <c r="A88" s="17" t="n"/>
      <c r="B88" s="18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8" t="n"/>
      <c r="Q88" s="19">
        <f>IF(B88="","",IF(P88="",TODAY()-B88,P88-B88))</f>
        <v/>
      </c>
      <c r="R88" s="17" t="n"/>
      <c r="S88" s="17" t="n"/>
    </row>
    <row r="89">
      <c r="A89" s="17" t="n"/>
      <c r="B89" s="18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8" t="n"/>
      <c r="Q89" s="19">
        <f>IF(B89="","",IF(P89="",TODAY()-B89,P89-B89))</f>
        <v/>
      </c>
      <c r="R89" s="17" t="n"/>
      <c r="S89" s="17" t="n"/>
    </row>
    <row r="90">
      <c r="A90" s="17" t="n"/>
      <c r="B90" s="18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8" t="n"/>
      <c r="Q90" s="19">
        <f>IF(B90="","",IF(P90="",TODAY()-B90,P90-B90))</f>
        <v/>
      </c>
      <c r="R90" s="17" t="n"/>
      <c r="S90" s="17" t="n"/>
    </row>
    <row r="91">
      <c r="A91" s="17" t="n"/>
      <c r="B91" s="18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8" t="n"/>
      <c r="Q91" s="19">
        <f>IF(B91="","",IF(P91="",TODAY()-B91,P91-B91))</f>
        <v/>
      </c>
      <c r="R91" s="17" t="n"/>
      <c r="S91" s="17" t="n"/>
    </row>
    <row r="92">
      <c r="A92" s="17" t="n"/>
      <c r="B92" s="18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8" t="n"/>
      <c r="Q92" s="19">
        <f>IF(B92="","",IF(P92="",TODAY()-B92,P92-B92))</f>
        <v/>
      </c>
      <c r="R92" s="17" t="n"/>
      <c r="S92" s="17" t="n"/>
    </row>
    <row r="93">
      <c r="A93" s="17" t="n"/>
      <c r="B93" s="18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8" t="n"/>
      <c r="Q93" s="19">
        <f>IF(B93="","",IF(P93="",TODAY()-B93,P93-B93))</f>
        <v/>
      </c>
      <c r="R93" s="17" t="n"/>
      <c r="S93" s="17" t="n"/>
    </row>
    <row r="94">
      <c r="A94" s="17" t="n"/>
      <c r="B94" s="18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8" t="n"/>
      <c r="Q94" s="19">
        <f>IF(B94="","",IF(P94="",TODAY()-B94,P94-B94))</f>
        <v/>
      </c>
      <c r="R94" s="17" t="n"/>
      <c r="S94" s="17" t="n"/>
    </row>
    <row r="95">
      <c r="A95" s="17" t="n"/>
      <c r="B95" s="18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8" t="n"/>
      <c r="Q95" s="19">
        <f>IF(B95="","",IF(P95="",TODAY()-B95,P95-B95))</f>
        <v/>
      </c>
      <c r="R95" s="17" t="n"/>
      <c r="S95" s="17" t="n"/>
    </row>
    <row r="96">
      <c r="A96" s="17" t="n"/>
      <c r="B96" s="18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8" t="n"/>
      <c r="Q96" s="19">
        <f>IF(B96="","",IF(P96="",TODAY()-B96,P96-B96))</f>
        <v/>
      </c>
      <c r="R96" s="17" t="n"/>
      <c r="S96" s="17" t="n"/>
    </row>
    <row r="97">
      <c r="A97" s="17" t="n"/>
      <c r="B97" s="18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8" t="n"/>
      <c r="Q97" s="19">
        <f>IF(B97="","",IF(P97="",TODAY()-B97,P97-B97))</f>
        <v/>
      </c>
      <c r="R97" s="17" t="n"/>
      <c r="S97" s="17" t="n"/>
    </row>
    <row r="98">
      <c r="A98" s="17" t="n"/>
      <c r="B98" s="18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8" t="n"/>
      <c r="Q98" s="19">
        <f>IF(B98="","",IF(P98="",TODAY()-B98,P98-B98))</f>
        <v/>
      </c>
      <c r="R98" s="17" t="n"/>
      <c r="S98" s="17" t="n"/>
    </row>
    <row r="99">
      <c r="A99" s="17" t="n"/>
      <c r="B99" s="18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8" t="n"/>
      <c r="Q99" s="19">
        <f>IF(B99="","",IF(P99="",TODAY()-B99,P99-B99))</f>
        <v/>
      </c>
      <c r="R99" s="17" t="n"/>
      <c r="S99" s="17" t="n"/>
    </row>
    <row r="100">
      <c r="A100" s="17" t="n"/>
      <c r="B100" s="18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8" t="n"/>
      <c r="Q100" s="19">
        <f>IF(B100="","",IF(P100="",TODAY()-B100,P100-B100))</f>
        <v/>
      </c>
      <c r="R100" s="17" t="n"/>
      <c r="S100" s="17" t="n"/>
    </row>
    <row r="101">
      <c r="A101" s="17" t="n"/>
      <c r="B101" s="18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8" t="n"/>
      <c r="Q101" s="19">
        <f>IF(B101="","",IF(P101="",TODAY()-B101,P101-B101))</f>
        <v/>
      </c>
      <c r="R101" s="17" t="n"/>
      <c r="S101" s="17" t="n"/>
    </row>
    <row r="102">
      <c r="A102" s="17" t="n"/>
      <c r="B102" s="18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8" t="n"/>
      <c r="Q102" s="19">
        <f>IF(B102="","",IF(P102="",TODAY()-B102,P102-B102))</f>
        <v/>
      </c>
      <c r="R102" s="17" t="n"/>
      <c r="S102" s="17" t="n"/>
    </row>
    <row r="103">
      <c r="A103" s="17" t="n"/>
      <c r="B103" s="18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8" t="n"/>
      <c r="Q103" s="19">
        <f>IF(B103="","",IF(P103="",TODAY()-B103,P103-B103))</f>
        <v/>
      </c>
      <c r="R103" s="17" t="n"/>
      <c r="S103" s="17" t="n"/>
    </row>
    <row r="104">
      <c r="A104" s="17" t="n"/>
      <c r="B104" s="18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8" t="n"/>
      <c r="Q104" s="19">
        <f>IF(B104="","",IF(P104="",TODAY()-B104,P104-B104))</f>
        <v/>
      </c>
      <c r="R104" s="17" t="n"/>
      <c r="S104" s="17" t="n"/>
    </row>
    <row r="105">
      <c r="A105" s="17" t="n"/>
      <c r="B105" s="18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8" t="n"/>
      <c r="Q105" s="19">
        <f>IF(B105="","",IF(P105="",TODAY()-B105,P105-B105))</f>
        <v/>
      </c>
      <c r="R105" s="17" t="n"/>
      <c r="S105" s="17" t="n"/>
    </row>
    <row r="106">
      <c r="A106" s="17" t="n"/>
      <c r="B106" s="18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8" t="n"/>
      <c r="Q106" s="19">
        <f>IF(B106="","",IF(P106="",TODAY()-B106,P106-B106))</f>
        <v/>
      </c>
      <c r="R106" s="17" t="n"/>
      <c r="S106" s="17" t="n"/>
    </row>
    <row r="107">
      <c r="A107" s="17" t="n"/>
      <c r="B107" s="18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8" t="n"/>
      <c r="Q107" s="19">
        <f>IF(B107="","",IF(P107="",TODAY()-B107,P107-B107))</f>
        <v/>
      </c>
      <c r="R107" s="17" t="n"/>
      <c r="S107" s="17" t="n"/>
    </row>
    <row r="108">
      <c r="A108" s="17" t="n"/>
      <c r="B108" s="18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8" t="n"/>
      <c r="Q108" s="19">
        <f>IF(B108="","",IF(P108="",TODAY()-B108,P108-B108))</f>
        <v/>
      </c>
      <c r="R108" s="17" t="n"/>
      <c r="S108" s="17" t="n"/>
    </row>
    <row r="109">
      <c r="A109" s="17" t="n"/>
      <c r="B109" s="18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8" t="n"/>
      <c r="Q109" s="19">
        <f>IF(B109="","",IF(P109="",TODAY()-B109,P109-B109))</f>
        <v/>
      </c>
      <c r="R109" s="17" t="n"/>
      <c r="S109" s="17" t="n"/>
    </row>
    <row r="110">
      <c r="A110" s="17" t="n"/>
      <c r="B110" s="18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8" t="n"/>
      <c r="Q110" s="19">
        <f>IF(B110="","",IF(P110="",TODAY()-B110,P110-B110))</f>
        <v/>
      </c>
      <c r="R110" s="17" t="n"/>
      <c r="S110" s="17" t="n"/>
    </row>
    <row r="111">
      <c r="A111" s="17" t="n"/>
      <c r="B111" s="18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8" t="n"/>
      <c r="Q111" s="19">
        <f>IF(B111="","",IF(P111="",TODAY()-B111,P111-B111))</f>
        <v/>
      </c>
      <c r="R111" s="17" t="n"/>
      <c r="S111" s="17" t="n"/>
    </row>
    <row r="112">
      <c r="A112" s="17" t="n"/>
      <c r="B112" s="18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8" t="n"/>
      <c r="Q112" s="19">
        <f>IF(B112="","",IF(P112="",TODAY()-B112,P112-B112))</f>
        <v/>
      </c>
      <c r="R112" s="17" t="n"/>
      <c r="S112" s="17" t="n"/>
    </row>
    <row r="113">
      <c r="A113" s="17" t="n"/>
      <c r="B113" s="18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8" t="n"/>
      <c r="Q113" s="19">
        <f>IF(B113="","",IF(P113="",TODAY()-B113,P113-B113))</f>
        <v/>
      </c>
      <c r="R113" s="17" t="n"/>
      <c r="S113" s="17" t="n"/>
    </row>
    <row r="114">
      <c r="A114" s="17" t="n"/>
      <c r="B114" s="18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8" t="n"/>
      <c r="Q114" s="19">
        <f>IF(B114="","",IF(P114="",TODAY()-B114,P114-B114))</f>
        <v/>
      </c>
      <c r="R114" s="17" t="n"/>
      <c r="S114" s="17" t="n"/>
    </row>
    <row r="115">
      <c r="A115" s="17" t="n"/>
      <c r="B115" s="18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8" t="n"/>
      <c r="Q115" s="19">
        <f>IF(B115="","",IF(P115="",TODAY()-B115,P115-B115))</f>
        <v/>
      </c>
      <c r="R115" s="17" t="n"/>
      <c r="S115" s="17" t="n"/>
    </row>
    <row r="116">
      <c r="A116" s="17" t="n"/>
      <c r="B116" s="18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8" t="n"/>
      <c r="Q116" s="19">
        <f>IF(B116="","",IF(P116="",TODAY()-B116,P116-B116))</f>
        <v/>
      </c>
      <c r="R116" s="17" t="n"/>
      <c r="S116" s="17" t="n"/>
    </row>
    <row r="117">
      <c r="A117" s="17" t="n"/>
      <c r="B117" s="18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8" t="n"/>
      <c r="Q117" s="19">
        <f>IF(B117="","",IF(P117="",TODAY()-B117,P117-B117))</f>
        <v/>
      </c>
      <c r="R117" s="17" t="n"/>
      <c r="S117" s="17" t="n"/>
    </row>
    <row r="118">
      <c r="A118" s="17" t="n"/>
      <c r="B118" s="18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8" t="n"/>
      <c r="Q118" s="19">
        <f>IF(B118="","",IF(P118="",TODAY()-B118,P118-B118))</f>
        <v/>
      </c>
      <c r="R118" s="17" t="n"/>
      <c r="S118" s="17" t="n"/>
    </row>
    <row r="119">
      <c r="A119" s="17" t="n"/>
      <c r="B119" s="18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8" t="n"/>
      <c r="Q119" s="19">
        <f>IF(B119="","",IF(P119="",TODAY()-B119,P119-B119))</f>
        <v/>
      </c>
      <c r="R119" s="17" t="n"/>
      <c r="S119" s="17" t="n"/>
    </row>
    <row r="120">
      <c r="A120" s="17" t="n"/>
      <c r="B120" s="18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8" t="n"/>
      <c r="Q120" s="19">
        <f>IF(B120="","",IF(P120="",TODAY()-B120,P120-B120))</f>
        <v/>
      </c>
      <c r="R120" s="17" t="n"/>
      <c r="S120" s="17" t="n"/>
    </row>
    <row r="121">
      <c r="A121" s="17" t="n"/>
      <c r="B121" s="18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8" t="n"/>
      <c r="Q121" s="19">
        <f>IF(B121="","",IF(P121="",TODAY()-B121,P121-B121))</f>
        <v/>
      </c>
      <c r="R121" s="17" t="n"/>
      <c r="S121" s="17" t="n"/>
    </row>
    <row r="122">
      <c r="A122" s="17" t="n"/>
      <c r="B122" s="18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8" t="n"/>
      <c r="Q122" s="19">
        <f>IF(B122="","",IF(P122="",TODAY()-B122,P122-B122))</f>
        <v/>
      </c>
      <c r="R122" s="17" t="n"/>
      <c r="S122" s="17" t="n"/>
    </row>
    <row r="123">
      <c r="A123" s="17" t="n"/>
      <c r="B123" s="18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8" t="n"/>
      <c r="Q123" s="19">
        <f>IF(B123="","",IF(P123="",TODAY()-B123,P123-B123))</f>
        <v/>
      </c>
      <c r="R123" s="17" t="n"/>
      <c r="S123" s="17" t="n"/>
    </row>
    <row r="124">
      <c r="A124" s="17" t="n"/>
      <c r="B124" s="18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8" t="n"/>
      <c r="Q124" s="19">
        <f>IF(B124="","",IF(P124="",TODAY()-B124,P124-B124))</f>
        <v/>
      </c>
      <c r="R124" s="17" t="n"/>
      <c r="S124" s="17" t="n"/>
    </row>
    <row r="125">
      <c r="A125" s="17" t="n"/>
      <c r="B125" s="18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8" t="n"/>
      <c r="Q125" s="19">
        <f>IF(B125="","",IF(P125="",TODAY()-B125,P125-B125))</f>
        <v/>
      </c>
      <c r="R125" s="17" t="n"/>
      <c r="S125" s="17" t="n"/>
    </row>
    <row r="126">
      <c r="A126" s="17" t="n"/>
      <c r="B126" s="18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8" t="n"/>
      <c r="Q126" s="19">
        <f>IF(B126="","",IF(P126="",TODAY()-B126,P126-B126))</f>
        <v/>
      </c>
      <c r="R126" s="17" t="n"/>
      <c r="S126" s="17" t="n"/>
    </row>
    <row r="127">
      <c r="A127" s="17" t="n"/>
      <c r="B127" s="18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8" t="n"/>
      <c r="Q127" s="19">
        <f>IF(B127="","",IF(P127="",TODAY()-B127,P127-B127))</f>
        <v/>
      </c>
      <c r="R127" s="17" t="n"/>
      <c r="S127" s="17" t="n"/>
    </row>
    <row r="128">
      <c r="A128" s="17" t="n"/>
      <c r="B128" s="18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8" t="n"/>
      <c r="Q128" s="19">
        <f>IF(B128="","",IF(P128="",TODAY()-B128,P128-B128))</f>
        <v/>
      </c>
      <c r="R128" s="17" t="n"/>
      <c r="S128" s="17" t="n"/>
    </row>
    <row r="129">
      <c r="A129" s="17" t="n"/>
      <c r="B129" s="18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8" t="n"/>
      <c r="Q129" s="19">
        <f>IF(B129="","",IF(P129="",TODAY()-B129,P129-B129))</f>
        <v/>
      </c>
      <c r="R129" s="17" t="n"/>
      <c r="S129" s="17" t="n"/>
    </row>
    <row r="130">
      <c r="A130" s="17" t="n"/>
      <c r="B130" s="18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8" t="n"/>
      <c r="Q130" s="19">
        <f>IF(B130="","",IF(P130="",TODAY()-B130,P130-B130))</f>
        <v/>
      </c>
      <c r="R130" s="17" t="n"/>
      <c r="S130" s="17" t="n"/>
    </row>
    <row r="131">
      <c r="A131" s="17" t="n"/>
      <c r="B131" s="18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8" t="n"/>
      <c r="Q131" s="19">
        <f>IF(B131="","",IF(P131="",TODAY()-B131,P131-B131))</f>
        <v/>
      </c>
      <c r="R131" s="17" t="n"/>
      <c r="S131" s="17" t="n"/>
    </row>
    <row r="132">
      <c r="A132" s="17" t="n"/>
      <c r="B132" s="18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8" t="n"/>
      <c r="Q132" s="19">
        <f>IF(B132="","",IF(P132="",TODAY()-B132,P132-B132))</f>
        <v/>
      </c>
      <c r="R132" s="17" t="n"/>
      <c r="S132" s="17" t="n"/>
    </row>
    <row r="133">
      <c r="A133" s="17" t="n"/>
      <c r="B133" s="18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8" t="n"/>
      <c r="Q133" s="19">
        <f>IF(B133="","",IF(P133="",TODAY()-B133,P133-B133))</f>
        <v/>
      </c>
      <c r="R133" s="17" t="n"/>
      <c r="S133" s="17" t="n"/>
    </row>
    <row r="134">
      <c r="A134" s="17" t="n"/>
      <c r="B134" s="18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8" t="n"/>
      <c r="Q134" s="19">
        <f>IF(B134="","",IF(P134="",TODAY()-B134,P134-B134))</f>
        <v/>
      </c>
      <c r="R134" s="17" t="n"/>
      <c r="S134" s="17" t="n"/>
    </row>
    <row r="135">
      <c r="A135" s="17" t="n"/>
      <c r="B135" s="18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8" t="n"/>
      <c r="Q135" s="19">
        <f>IF(B135="","",IF(P135="",TODAY()-B135,P135-B135))</f>
        <v/>
      </c>
      <c r="R135" s="17" t="n"/>
      <c r="S135" s="17" t="n"/>
    </row>
    <row r="136">
      <c r="A136" s="17" t="n"/>
      <c r="B136" s="18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8" t="n"/>
      <c r="Q136" s="19">
        <f>IF(B136="","",IF(P136="",TODAY()-B136,P136-B136))</f>
        <v/>
      </c>
      <c r="R136" s="17" t="n"/>
      <c r="S136" s="17" t="n"/>
    </row>
    <row r="137">
      <c r="A137" s="17" t="n"/>
      <c r="B137" s="18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8" t="n"/>
      <c r="Q137" s="19">
        <f>IF(B137="","",IF(P137="",TODAY()-B137,P137-B137))</f>
        <v/>
      </c>
      <c r="R137" s="17" t="n"/>
      <c r="S137" s="17" t="n"/>
    </row>
    <row r="138">
      <c r="A138" s="17" t="n"/>
      <c r="B138" s="18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8" t="n"/>
      <c r="Q138" s="19">
        <f>IF(B138="","",IF(P138="",TODAY()-B138,P138-B138))</f>
        <v/>
      </c>
      <c r="R138" s="17" t="n"/>
      <c r="S138" s="17" t="n"/>
    </row>
    <row r="139">
      <c r="A139" s="17" t="n"/>
      <c r="B139" s="18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8" t="n"/>
      <c r="Q139" s="19">
        <f>IF(B139="","",IF(P139="",TODAY()-B139,P139-B139))</f>
        <v/>
      </c>
      <c r="R139" s="17" t="n"/>
      <c r="S139" s="17" t="n"/>
    </row>
    <row r="140">
      <c r="A140" s="17" t="n"/>
      <c r="B140" s="18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8" t="n"/>
      <c r="Q140" s="19">
        <f>IF(B140="","",IF(P140="",TODAY()-B140,P140-B140))</f>
        <v/>
      </c>
      <c r="R140" s="17" t="n"/>
      <c r="S140" s="17" t="n"/>
    </row>
    <row r="141">
      <c r="A141" s="17" t="n"/>
      <c r="B141" s="18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8" t="n"/>
      <c r="Q141" s="19">
        <f>IF(B141="","",IF(P141="",TODAY()-B141,P141-B141))</f>
        <v/>
      </c>
      <c r="R141" s="17" t="n"/>
      <c r="S141" s="17" t="n"/>
    </row>
    <row r="142">
      <c r="A142" s="17" t="n"/>
      <c r="B142" s="18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8" t="n"/>
      <c r="Q142" s="19">
        <f>IF(B142="","",IF(P142="",TODAY()-B142,P142-B142))</f>
        <v/>
      </c>
      <c r="R142" s="17" t="n"/>
      <c r="S142" s="17" t="n"/>
    </row>
    <row r="143">
      <c r="A143" s="17" t="n"/>
      <c r="B143" s="18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8" t="n"/>
      <c r="Q143" s="19">
        <f>IF(B143="","",IF(P143="",TODAY()-B143,P143-B143))</f>
        <v/>
      </c>
      <c r="R143" s="17" t="n"/>
      <c r="S143" s="17" t="n"/>
    </row>
    <row r="144">
      <c r="A144" s="17" t="n"/>
      <c r="B144" s="18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8" t="n"/>
      <c r="Q144" s="19">
        <f>IF(B144="","",IF(P144="",TODAY()-B144,P144-B144))</f>
        <v/>
      </c>
      <c r="R144" s="17" t="n"/>
      <c r="S144" s="17" t="n"/>
    </row>
    <row r="145">
      <c r="A145" s="17" t="n"/>
      <c r="B145" s="18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8" t="n"/>
      <c r="Q145" s="19">
        <f>IF(B145="","",IF(P145="",TODAY()-B145,P145-B145))</f>
        <v/>
      </c>
      <c r="R145" s="17" t="n"/>
      <c r="S145" s="17" t="n"/>
    </row>
    <row r="146">
      <c r="A146" s="17" t="n"/>
      <c r="B146" s="18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8" t="n"/>
      <c r="Q146" s="19">
        <f>IF(B146="","",IF(P146="",TODAY()-B146,P146-B146))</f>
        <v/>
      </c>
      <c r="R146" s="17" t="n"/>
      <c r="S146" s="17" t="n"/>
    </row>
    <row r="147">
      <c r="A147" s="17" t="n"/>
      <c r="B147" s="18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8" t="n"/>
      <c r="Q147" s="19">
        <f>IF(B147="","",IF(P147="",TODAY()-B147,P147-B147))</f>
        <v/>
      </c>
      <c r="R147" s="17" t="n"/>
      <c r="S147" s="17" t="n"/>
    </row>
    <row r="148">
      <c r="A148" s="17" t="n"/>
      <c r="B148" s="18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8" t="n"/>
      <c r="Q148" s="19">
        <f>IF(B148="","",IF(P148="",TODAY()-B148,P148-B148))</f>
        <v/>
      </c>
      <c r="R148" s="17" t="n"/>
      <c r="S148" s="17" t="n"/>
    </row>
    <row r="149">
      <c r="A149" s="17" t="n"/>
      <c r="B149" s="18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8" t="n"/>
      <c r="Q149" s="19">
        <f>IF(B149="","",IF(P149="",TODAY()-B149,P149-B149))</f>
        <v/>
      </c>
      <c r="R149" s="17" t="n"/>
      <c r="S149" s="17" t="n"/>
    </row>
    <row r="150">
      <c r="A150" s="17" t="n"/>
      <c r="B150" s="18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8" t="n"/>
      <c r="Q150" s="19">
        <f>IF(B150="","",IF(P150="",TODAY()-B150,P150-B150))</f>
        <v/>
      </c>
      <c r="R150" s="17" t="n"/>
      <c r="S150" s="17" t="n"/>
    </row>
    <row r="151">
      <c r="A151" s="17" t="n"/>
      <c r="B151" s="18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8" t="n"/>
      <c r="Q151" s="19">
        <f>IF(B151="","",IF(P151="",TODAY()-B151,P151-B151))</f>
        <v/>
      </c>
      <c r="R151" s="17" t="n"/>
      <c r="S151" s="17" t="n"/>
    </row>
    <row r="152">
      <c r="A152" s="17" t="n"/>
      <c r="B152" s="18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8" t="n"/>
      <c r="Q152" s="19">
        <f>IF(B152="","",IF(P152="",TODAY()-B152,P152-B152))</f>
        <v/>
      </c>
      <c r="R152" s="17" t="n"/>
      <c r="S152" s="17" t="n"/>
    </row>
    <row r="153">
      <c r="A153" s="17" t="n"/>
      <c r="B153" s="18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8" t="n"/>
      <c r="Q153" s="19">
        <f>IF(B153="","",IF(P153="",TODAY()-B153,P153-B153))</f>
        <v/>
      </c>
      <c r="R153" s="17" t="n"/>
      <c r="S153" s="17" t="n"/>
    </row>
    <row r="154">
      <c r="A154" s="17" t="n"/>
      <c r="B154" s="18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8" t="n"/>
      <c r="Q154" s="19">
        <f>IF(B154="","",IF(P154="",TODAY()-B154,P154-B154))</f>
        <v/>
      </c>
      <c r="R154" s="17" t="n"/>
      <c r="S154" s="17" t="n"/>
    </row>
    <row r="155">
      <c r="A155" s="17" t="n"/>
      <c r="B155" s="18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8" t="n"/>
      <c r="Q155" s="19">
        <f>IF(B155="","",IF(P155="",TODAY()-B155,P155-B155))</f>
        <v/>
      </c>
      <c r="R155" s="17" t="n"/>
      <c r="S155" s="17" t="n"/>
    </row>
    <row r="156">
      <c r="A156" s="17" t="n"/>
      <c r="B156" s="18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8" t="n"/>
      <c r="Q156" s="19">
        <f>IF(B156="","",IF(P156="",TODAY()-B156,P156-B156))</f>
        <v/>
      </c>
      <c r="R156" s="17" t="n"/>
      <c r="S156" s="17" t="n"/>
    </row>
    <row r="157">
      <c r="A157" s="17" t="n"/>
      <c r="B157" s="18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8" t="n"/>
      <c r="Q157" s="19">
        <f>IF(B157="","",IF(P157="",TODAY()-B157,P157-B157))</f>
        <v/>
      </c>
      <c r="R157" s="17" t="n"/>
      <c r="S157" s="17" t="n"/>
    </row>
    <row r="158">
      <c r="A158" s="17" t="n"/>
      <c r="B158" s="18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8" t="n"/>
      <c r="Q158" s="19">
        <f>IF(B158="","",IF(P158="",TODAY()-B158,P158-B158))</f>
        <v/>
      </c>
      <c r="R158" s="17" t="n"/>
      <c r="S158" s="17" t="n"/>
    </row>
    <row r="159">
      <c r="A159" s="17" t="n"/>
      <c r="B159" s="18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8" t="n"/>
      <c r="Q159" s="19">
        <f>IF(B159="","",IF(P159="",TODAY()-B159,P159-B159))</f>
        <v/>
      </c>
      <c r="R159" s="17" t="n"/>
      <c r="S159" s="17" t="n"/>
    </row>
    <row r="160">
      <c r="A160" s="17" t="n"/>
      <c r="B160" s="18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8" t="n"/>
      <c r="Q160" s="19">
        <f>IF(B160="","",IF(P160="",TODAY()-B160,P160-B160))</f>
        <v/>
      </c>
      <c r="R160" s="17" t="n"/>
      <c r="S160" s="17" t="n"/>
    </row>
    <row r="161">
      <c r="A161" s="17" t="n"/>
      <c r="B161" s="18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8" t="n"/>
      <c r="Q161" s="19">
        <f>IF(B161="","",IF(P161="",TODAY()-B161,P161-B161))</f>
        <v/>
      </c>
      <c r="R161" s="17" t="n"/>
      <c r="S161" s="17" t="n"/>
    </row>
    <row r="162">
      <c r="A162" s="17" t="n"/>
      <c r="B162" s="18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8" t="n"/>
      <c r="Q162" s="19">
        <f>IF(B162="","",IF(P162="",TODAY()-B162,P162-B162))</f>
        <v/>
      </c>
      <c r="R162" s="17" t="n"/>
      <c r="S162" s="17" t="n"/>
    </row>
    <row r="163">
      <c r="A163" s="17" t="n"/>
      <c r="B163" s="18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8" t="n"/>
      <c r="Q163" s="19">
        <f>IF(B163="","",IF(P163="",TODAY()-B163,P163-B163))</f>
        <v/>
      </c>
      <c r="R163" s="17" t="n"/>
      <c r="S163" s="17" t="n"/>
    </row>
    <row r="164">
      <c r="A164" s="17" t="n"/>
      <c r="B164" s="18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8" t="n"/>
      <c r="Q164" s="19">
        <f>IF(B164="","",IF(P164="",TODAY()-B164,P164-B164))</f>
        <v/>
      </c>
      <c r="R164" s="17" t="n"/>
      <c r="S164" s="17" t="n"/>
    </row>
    <row r="165">
      <c r="A165" s="17" t="n"/>
      <c r="B165" s="18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8" t="n"/>
      <c r="Q165" s="19">
        <f>IF(B165="","",IF(P165="",TODAY()-B165,P165-B165))</f>
        <v/>
      </c>
      <c r="R165" s="17" t="n"/>
      <c r="S165" s="17" t="n"/>
    </row>
    <row r="166">
      <c r="A166" s="17" t="n"/>
      <c r="B166" s="18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8" t="n"/>
      <c r="Q166" s="19">
        <f>IF(B166="","",IF(P166="",TODAY()-B166,P166-B166))</f>
        <v/>
      </c>
      <c r="R166" s="17" t="n"/>
      <c r="S166" s="17" t="n"/>
    </row>
    <row r="167">
      <c r="A167" s="17" t="n"/>
      <c r="B167" s="18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8" t="n"/>
      <c r="Q167" s="19">
        <f>IF(B167="","",IF(P167="",TODAY()-B167,P167-B167))</f>
        <v/>
      </c>
      <c r="R167" s="17" t="n"/>
      <c r="S167" s="17" t="n"/>
    </row>
    <row r="168">
      <c r="A168" s="17" t="n"/>
      <c r="B168" s="18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8" t="n"/>
      <c r="Q168" s="19">
        <f>IF(B168="","",IF(P168="",TODAY()-B168,P168-B168))</f>
        <v/>
      </c>
      <c r="R168" s="17" t="n"/>
      <c r="S168" s="17" t="n"/>
    </row>
    <row r="169">
      <c r="A169" s="17" t="n"/>
      <c r="B169" s="18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8" t="n"/>
      <c r="Q169" s="19">
        <f>IF(B169="","",IF(P169="",TODAY()-B169,P169-B169))</f>
        <v/>
      </c>
      <c r="R169" s="17" t="n"/>
      <c r="S169" s="17" t="n"/>
    </row>
    <row r="170">
      <c r="A170" s="17" t="n"/>
      <c r="B170" s="18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8" t="n"/>
      <c r="Q170" s="19">
        <f>IF(B170="","",IF(P170="",TODAY()-B170,P170-B170))</f>
        <v/>
      </c>
      <c r="R170" s="17" t="n"/>
      <c r="S170" s="17" t="n"/>
    </row>
    <row r="171">
      <c r="A171" s="17" t="n"/>
      <c r="B171" s="18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8" t="n"/>
      <c r="Q171" s="19">
        <f>IF(B171="","",IF(P171="",TODAY()-B171,P171-B171))</f>
        <v/>
      </c>
      <c r="R171" s="17" t="n"/>
      <c r="S171" s="17" t="n"/>
    </row>
    <row r="172">
      <c r="A172" s="17" t="n"/>
      <c r="B172" s="18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8" t="n"/>
      <c r="Q172" s="19">
        <f>IF(B172="","",IF(P172="",TODAY()-B172,P172-B172))</f>
        <v/>
      </c>
      <c r="R172" s="17" t="n"/>
      <c r="S172" s="17" t="n"/>
    </row>
    <row r="173">
      <c r="A173" s="17" t="n"/>
      <c r="B173" s="18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8" t="n"/>
      <c r="Q173" s="19">
        <f>IF(B173="","",IF(P173="",TODAY()-B173,P173-B173))</f>
        <v/>
      </c>
      <c r="R173" s="17" t="n"/>
      <c r="S173" s="17" t="n"/>
    </row>
    <row r="174">
      <c r="A174" s="17" t="n"/>
      <c r="B174" s="18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8" t="n"/>
      <c r="Q174" s="19">
        <f>IF(B174="","",IF(P174="",TODAY()-B174,P174-B174))</f>
        <v/>
      </c>
      <c r="R174" s="17" t="n"/>
      <c r="S174" s="17" t="n"/>
    </row>
    <row r="175">
      <c r="A175" s="17" t="n"/>
      <c r="B175" s="18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8" t="n"/>
      <c r="Q175" s="19">
        <f>IF(B175="","",IF(P175="",TODAY()-B175,P175-B175))</f>
        <v/>
      </c>
      <c r="R175" s="17" t="n"/>
      <c r="S175" s="17" t="n"/>
    </row>
    <row r="176">
      <c r="A176" s="17" t="n"/>
      <c r="B176" s="18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8" t="n"/>
      <c r="Q176" s="19">
        <f>IF(B176="","",IF(P176="",TODAY()-B176,P176-B176))</f>
        <v/>
      </c>
      <c r="R176" s="17" t="n"/>
      <c r="S176" s="17" t="n"/>
    </row>
    <row r="177">
      <c r="A177" s="17" t="n"/>
      <c r="B177" s="18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8" t="n"/>
      <c r="Q177" s="19">
        <f>IF(B177="","",IF(P177="",TODAY()-B177,P177-B177))</f>
        <v/>
      </c>
      <c r="R177" s="17" t="n"/>
      <c r="S177" s="17" t="n"/>
    </row>
    <row r="178">
      <c r="A178" s="17" t="n"/>
      <c r="B178" s="18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8" t="n"/>
      <c r="Q178" s="19">
        <f>IF(B178="","",IF(P178="",TODAY()-B178,P178-B178))</f>
        <v/>
      </c>
      <c r="R178" s="17" t="n"/>
      <c r="S178" s="17" t="n"/>
    </row>
    <row r="179">
      <c r="A179" s="17" t="n"/>
      <c r="B179" s="18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8" t="n"/>
      <c r="Q179" s="19">
        <f>IF(B179="","",IF(P179="",TODAY()-B179,P179-B179))</f>
        <v/>
      </c>
      <c r="R179" s="17" t="n"/>
      <c r="S179" s="17" t="n"/>
    </row>
    <row r="180">
      <c r="A180" s="17" t="n"/>
      <c r="B180" s="18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8" t="n"/>
      <c r="Q180" s="19">
        <f>IF(B180="","",IF(P180="",TODAY()-B180,P180-B180))</f>
        <v/>
      </c>
      <c r="R180" s="17" t="n"/>
      <c r="S180" s="17" t="n"/>
    </row>
    <row r="181">
      <c r="A181" s="17" t="n"/>
      <c r="B181" s="18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8" t="n"/>
      <c r="Q181" s="19">
        <f>IF(B181="","",IF(P181="",TODAY()-B181,P181-B181))</f>
        <v/>
      </c>
      <c r="R181" s="17" t="n"/>
      <c r="S181" s="17" t="n"/>
    </row>
    <row r="182">
      <c r="A182" s="17" t="n"/>
      <c r="B182" s="18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8" t="n"/>
      <c r="Q182" s="19">
        <f>IF(B182="","",IF(P182="",TODAY()-B182,P182-B182))</f>
        <v/>
      </c>
      <c r="R182" s="17" t="n"/>
      <c r="S182" s="17" t="n"/>
    </row>
    <row r="183">
      <c r="A183" s="17" t="n"/>
      <c r="B183" s="18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8" t="n"/>
      <c r="Q183" s="19">
        <f>IF(B183="","",IF(P183="",TODAY()-B183,P183-B183))</f>
        <v/>
      </c>
      <c r="R183" s="17" t="n"/>
      <c r="S183" s="17" t="n"/>
    </row>
    <row r="184">
      <c r="A184" s="17" t="n"/>
      <c r="B184" s="18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8" t="n"/>
      <c r="Q184" s="19">
        <f>IF(B184="","",IF(P184="",TODAY()-B184,P184-B184))</f>
        <v/>
      </c>
      <c r="R184" s="17" t="n"/>
      <c r="S184" s="17" t="n"/>
    </row>
    <row r="185">
      <c r="A185" s="17" t="n"/>
      <c r="B185" s="18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8" t="n"/>
      <c r="Q185" s="19">
        <f>IF(B185="","",IF(P185="",TODAY()-B185,P185-B185))</f>
        <v/>
      </c>
      <c r="R185" s="17" t="n"/>
      <c r="S185" s="17" t="n"/>
    </row>
    <row r="186">
      <c r="A186" s="17" t="n"/>
      <c r="B186" s="18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8" t="n"/>
      <c r="Q186" s="19">
        <f>IF(B186="","",IF(P186="",TODAY()-B186,P186-B186))</f>
        <v/>
      </c>
      <c r="R186" s="17" t="n"/>
      <c r="S186" s="17" t="n"/>
    </row>
    <row r="187">
      <c r="A187" s="17" t="n"/>
      <c r="B187" s="18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8" t="n"/>
      <c r="Q187" s="19">
        <f>IF(B187="","",IF(P187="",TODAY()-B187,P187-B187))</f>
        <v/>
      </c>
      <c r="R187" s="17" t="n"/>
      <c r="S187" s="17" t="n"/>
    </row>
    <row r="188">
      <c r="A188" s="17" t="n"/>
      <c r="B188" s="18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8" t="n"/>
      <c r="Q188" s="19">
        <f>IF(B188="","",IF(P188="",TODAY()-B188,P188-B188))</f>
        <v/>
      </c>
      <c r="R188" s="17" t="n"/>
      <c r="S188" s="17" t="n"/>
    </row>
    <row r="189">
      <c r="A189" s="17" t="n"/>
      <c r="B189" s="18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8" t="n"/>
      <c r="Q189" s="19">
        <f>IF(B189="","",IF(P189="",TODAY()-B189,P189-B189))</f>
        <v/>
      </c>
      <c r="R189" s="17" t="n"/>
      <c r="S189" s="17" t="n"/>
    </row>
    <row r="190">
      <c r="A190" s="17" t="n"/>
      <c r="B190" s="18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8" t="n"/>
      <c r="Q190" s="19">
        <f>IF(B190="","",IF(P190="",TODAY()-B190,P190-B190))</f>
        <v/>
      </c>
      <c r="R190" s="17" t="n"/>
      <c r="S190" s="17" t="n"/>
    </row>
    <row r="191">
      <c r="A191" s="17" t="n"/>
      <c r="B191" s="18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8" t="n"/>
      <c r="Q191" s="19">
        <f>IF(B191="","",IF(P191="",TODAY()-B191,P191-B191))</f>
        <v/>
      </c>
      <c r="R191" s="17" t="n"/>
      <c r="S191" s="17" t="n"/>
    </row>
    <row r="192">
      <c r="A192" s="17" t="n"/>
      <c r="B192" s="18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8" t="n"/>
      <c r="Q192" s="19">
        <f>IF(B192="","",IF(P192="",TODAY()-B192,P192-B192))</f>
        <v/>
      </c>
      <c r="R192" s="17" t="n"/>
      <c r="S192" s="17" t="n"/>
    </row>
    <row r="193">
      <c r="A193" s="17" t="n"/>
      <c r="B193" s="18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8" t="n"/>
      <c r="Q193" s="19">
        <f>IF(B193="","",IF(P193="",TODAY()-B193,P193-B193))</f>
        <v/>
      </c>
      <c r="R193" s="17" t="n"/>
      <c r="S193" s="17" t="n"/>
    </row>
    <row r="194">
      <c r="A194" s="17" t="n"/>
      <c r="B194" s="18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8" t="n"/>
      <c r="Q194" s="19">
        <f>IF(B194="","",IF(P194="",TODAY()-B194,P194-B194))</f>
        <v/>
      </c>
      <c r="R194" s="17" t="n"/>
      <c r="S194" s="17" t="n"/>
    </row>
    <row r="195">
      <c r="A195" s="17" t="n"/>
      <c r="B195" s="18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8" t="n"/>
      <c r="Q195" s="19">
        <f>IF(B195="","",IF(P195="",TODAY()-B195,P195-B195))</f>
        <v/>
      </c>
      <c r="R195" s="17" t="n"/>
      <c r="S195" s="17" t="n"/>
    </row>
    <row r="196">
      <c r="A196" s="17" t="n"/>
      <c r="B196" s="18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8" t="n"/>
      <c r="Q196" s="19">
        <f>IF(B196="","",IF(P196="",TODAY()-B196,P196-B196))</f>
        <v/>
      </c>
      <c r="R196" s="17" t="n"/>
      <c r="S196" s="17" t="n"/>
    </row>
    <row r="197">
      <c r="A197" s="17" t="n"/>
      <c r="B197" s="18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8" t="n"/>
      <c r="Q197" s="19">
        <f>IF(B197="","",IF(P197="",TODAY()-B197,P197-B197))</f>
        <v/>
      </c>
      <c r="R197" s="17" t="n"/>
      <c r="S197" s="17" t="n"/>
    </row>
    <row r="198">
      <c r="A198" s="17" t="n"/>
      <c r="B198" s="18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8" t="n"/>
      <c r="Q198" s="19">
        <f>IF(B198="","",IF(P198="",TODAY()-B198,P198-B198))</f>
        <v/>
      </c>
      <c r="R198" s="17" t="n"/>
      <c r="S198" s="17" t="n"/>
    </row>
    <row r="199">
      <c r="A199" s="17" t="n"/>
      <c r="B199" s="18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8" t="n"/>
      <c r="Q199" s="19">
        <f>IF(B199="","",IF(P199="",TODAY()-B199,P199-B199))</f>
        <v/>
      </c>
      <c r="R199" s="17" t="n"/>
      <c r="S199" s="17" t="n"/>
    </row>
    <row r="200">
      <c r="A200" s="17" t="n"/>
      <c r="B200" s="18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8" t="n"/>
      <c r="Q200" s="19">
        <f>IF(B200="","",IF(P200="",TODAY()-B200,P200-B200))</f>
        <v/>
      </c>
      <c r="R200" s="17" t="n"/>
      <c r="S200" s="17" t="n"/>
    </row>
    <row r="201">
      <c r="A201" s="17" t="n"/>
      <c r="B201" s="18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8" t="n"/>
      <c r="Q201" s="19">
        <f>IF(B201="","",IF(P201="",TODAY()-B201,P201-B201))</f>
        <v/>
      </c>
      <c r="R201" s="17" t="n"/>
      <c r="S201" s="17" t="n"/>
    </row>
    <row r="202">
      <c r="A202" s="17" t="n"/>
      <c r="B202" s="18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8" t="n"/>
      <c r="Q202" s="19">
        <f>IF(B202="","",IF(P202="",TODAY()-B202,P202-B202))</f>
        <v/>
      </c>
      <c r="R202" s="17" t="n"/>
      <c r="S202" s="17" t="n"/>
    </row>
    <row r="203">
      <c r="A203" s="17" t="n"/>
      <c r="B203" s="18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8" t="n"/>
      <c r="Q203" s="19">
        <f>IF(B203="","",IF(P203="",TODAY()-B203,P203-B203))</f>
        <v/>
      </c>
      <c r="R203" s="17" t="n"/>
      <c r="S203" s="17" t="n"/>
    </row>
    <row r="204">
      <c r="A204" s="17" t="n"/>
      <c r="B204" s="18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8" t="n"/>
      <c r="Q204" s="19">
        <f>IF(B204="","",IF(P204="",TODAY()-B204,P204-B204))</f>
        <v/>
      </c>
      <c r="R204" s="17" t="n"/>
      <c r="S204" s="17" t="n"/>
    </row>
    <row r="205">
      <c r="A205" s="17" t="n"/>
      <c r="B205" s="18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8" t="n"/>
      <c r="Q205" s="19">
        <f>IF(B205="","",IF(P205="",TODAY()-B205,P205-B205))</f>
        <v/>
      </c>
      <c r="R205" s="17" t="n"/>
      <c r="S205" s="17" t="n"/>
    </row>
    <row r="206">
      <c r="A206" s="17" t="n"/>
      <c r="B206" s="18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8" t="n"/>
      <c r="Q206" s="19">
        <f>IF(B206="","",IF(P206="",TODAY()-B206,P206-B206))</f>
        <v/>
      </c>
      <c r="R206" s="17" t="n"/>
      <c r="S206" s="17" t="n"/>
    </row>
    <row r="207">
      <c r="A207" s="17" t="n"/>
      <c r="B207" s="18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8" t="n"/>
      <c r="Q207" s="19">
        <f>IF(B207="","",IF(P207="",TODAY()-B207,P207-B207))</f>
        <v/>
      </c>
      <c r="R207" s="17" t="n"/>
      <c r="S207" s="17" t="n"/>
    </row>
    <row r="208">
      <c r="A208" s="17" t="n"/>
      <c r="B208" s="18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8" t="n"/>
      <c r="Q208" s="19">
        <f>IF(B208="","",IF(P208="",TODAY()-B208,P208-B208))</f>
        <v/>
      </c>
      <c r="R208" s="17" t="n"/>
      <c r="S208" s="17" t="n"/>
    </row>
    <row r="209">
      <c r="A209" s="17" t="n"/>
      <c r="B209" s="18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8" t="n"/>
      <c r="Q209" s="19">
        <f>IF(B209="","",IF(P209="",TODAY()-B209,P209-B209))</f>
        <v/>
      </c>
      <c r="R209" s="17" t="n"/>
      <c r="S209" s="17" t="n"/>
    </row>
    <row r="210">
      <c r="A210" s="17" t="n"/>
      <c r="B210" s="18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8" t="n"/>
      <c r="Q210" s="19">
        <f>IF(B210="","",IF(P210="",TODAY()-B210,P210-B210))</f>
        <v/>
      </c>
      <c r="R210" s="17" t="n"/>
      <c r="S210" s="17" t="n"/>
    </row>
    <row r="211">
      <c r="A211" s="17" t="n"/>
      <c r="B211" s="18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8" t="n"/>
      <c r="Q211" s="19">
        <f>IF(B211="","",IF(P211="",TODAY()-B211,P211-B211))</f>
        <v/>
      </c>
      <c r="R211" s="17" t="n"/>
      <c r="S211" s="17" t="n"/>
    </row>
    <row r="212">
      <c r="A212" s="17" t="n"/>
      <c r="B212" s="18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8" t="n"/>
      <c r="Q212" s="19">
        <f>IF(B212="","",IF(P212="",TODAY()-B212,P212-B212))</f>
        <v/>
      </c>
      <c r="R212" s="17" t="n"/>
      <c r="S212" s="17" t="n"/>
    </row>
    <row r="213">
      <c r="A213" s="17" t="n"/>
      <c r="B213" s="18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8" t="n"/>
      <c r="Q213" s="19">
        <f>IF(B213="","",IF(P213="",TODAY()-B213,P213-B213))</f>
        <v/>
      </c>
      <c r="R213" s="17" t="n"/>
      <c r="S213" s="17" t="n"/>
    </row>
    <row r="214">
      <c r="A214" s="17" t="n"/>
      <c r="B214" s="18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8" t="n"/>
      <c r="Q214" s="19">
        <f>IF(B214="","",IF(P214="",TODAY()-B214,P214-B214))</f>
        <v/>
      </c>
      <c r="R214" s="17" t="n"/>
      <c r="S214" s="17" t="n"/>
    </row>
    <row r="215">
      <c r="A215" s="17" t="n"/>
      <c r="B215" s="18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8" t="n"/>
      <c r="Q215" s="19">
        <f>IF(B215="","",IF(P215="",TODAY()-B215,P215-B215))</f>
        <v/>
      </c>
      <c r="R215" s="17" t="n"/>
      <c r="S215" s="17" t="n"/>
    </row>
    <row r="216">
      <c r="A216" s="17" t="n"/>
      <c r="B216" s="18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8" t="n"/>
      <c r="Q216" s="19">
        <f>IF(B216="","",IF(P216="",TODAY()-B216,P216-B216))</f>
        <v/>
      </c>
      <c r="R216" s="17" t="n"/>
      <c r="S216" s="17" t="n"/>
    </row>
    <row r="217">
      <c r="A217" s="17" t="n"/>
      <c r="B217" s="18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8" t="n"/>
      <c r="Q217" s="19">
        <f>IF(B217="","",IF(P217="",TODAY()-B217,P217-B217))</f>
        <v/>
      </c>
      <c r="R217" s="17" t="n"/>
      <c r="S217" s="17" t="n"/>
    </row>
    <row r="218">
      <c r="A218" s="17" t="n"/>
      <c r="B218" s="18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8" t="n"/>
      <c r="Q218" s="19">
        <f>IF(B218="","",IF(P218="",TODAY()-B218,P218-B218))</f>
        <v/>
      </c>
      <c r="R218" s="17" t="n"/>
      <c r="S218" s="17" t="n"/>
    </row>
    <row r="219">
      <c r="A219" s="17" t="n"/>
      <c r="B219" s="18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8" t="n"/>
      <c r="Q219" s="19">
        <f>IF(B219="","",IF(P219="",TODAY()-B219,P219-B219))</f>
        <v/>
      </c>
      <c r="R219" s="17" t="n"/>
      <c r="S219" s="17" t="n"/>
    </row>
    <row r="220">
      <c r="A220" s="17" t="n"/>
      <c r="B220" s="18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8" t="n"/>
      <c r="Q220" s="19">
        <f>IF(B220="","",IF(P220="",TODAY()-B220,P220-B220))</f>
        <v/>
      </c>
      <c r="R220" s="17" t="n"/>
      <c r="S220" s="17" t="n"/>
    </row>
    <row r="221">
      <c r="A221" s="17" t="n"/>
      <c r="B221" s="18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8" t="n"/>
      <c r="Q221" s="19">
        <f>IF(B221="","",IF(P221="",TODAY()-B221,P221-B221))</f>
        <v/>
      </c>
      <c r="R221" s="17" t="n"/>
      <c r="S221" s="17" t="n"/>
    </row>
    <row r="222">
      <c r="A222" s="17" t="n"/>
      <c r="B222" s="18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8" t="n"/>
      <c r="Q222" s="19">
        <f>IF(B222="","",IF(P222="",TODAY()-B222,P222-B222))</f>
        <v/>
      </c>
      <c r="R222" s="17" t="n"/>
      <c r="S222" s="17" t="n"/>
    </row>
    <row r="223">
      <c r="A223" s="17" t="n"/>
      <c r="B223" s="18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8" t="n"/>
      <c r="Q223" s="19">
        <f>IF(B223="","",IF(P223="",TODAY()-B223,P223-B223))</f>
        <v/>
      </c>
      <c r="R223" s="17" t="n"/>
      <c r="S223" s="17" t="n"/>
    </row>
    <row r="224">
      <c r="A224" s="17" t="n"/>
      <c r="B224" s="18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8" t="n"/>
      <c r="Q224" s="19">
        <f>IF(B224="","",IF(P224="",TODAY()-B224,P224-B224))</f>
        <v/>
      </c>
      <c r="R224" s="17" t="n"/>
      <c r="S224" s="17" t="n"/>
    </row>
    <row r="225">
      <c r="A225" s="17" t="n"/>
      <c r="B225" s="18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8" t="n"/>
      <c r="Q225" s="19">
        <f>IF(B225="","",IF(P225="",TODAY()-B225,P225-B225))</f>
        <v/>
      </c>
      <c r="R225" s="17" t="n"/>
      <c r="S225" s="17" t="n"/>
    </row>
    <row r="226">
      <c r="A226" s="17" t="n"/>
      <c r="B226" s="18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8" t="n"/>
      <c r="Q226" s="19">
        <f>IF(B226="","",IF(P226="",TODAY()-B226,P226-B226))</f>
        <v/>
      </c>
      <c r="R226" s="17" t="n"/>
      <c r="S226" s="17" t="n"/>
    </row>
    <row r="227">
      <c r="A227" s="17" t="n"/>
      <c r="B227" s="18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8" t="n"/>
      <c r="Q227" s="19">
        <f>IF(B227="","",IF(P227="",TODAY()-B227,P227-B227))</f>
        <v/>
      </c>
      <c r="R227" s="17" t="n"/>
      <c r="S227" s="17" t="n"/>
    </row>
    <row r="228">
      <c r="A228" s="17" t="n"/>
      <c r="B228" s="18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8" t="n"/>
      <c r="Q228" s="19">
        <f>IF(B228="","",IF(P228="",TODAY()-B228,P228-B228))</f>
        <v/>
      </c>
      <c r="R228" s="17" t="n"/>
      <c r="S228" s="17" t="n"/>
    </row>
    <row r="229">
      <c r="A229" s="17" t="n"/>
      <c r="B229" s="18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8" t="n"/>
      <c r="Q229" s="19">
        <f>IF(B229="","",IF(P229="",TODAY()-B229,P229-B229))</f>
        <v/>
      </c>
      <c r="R229" s="17" t="n"/>
      <c r="S229" s="17" t="n"/>
    </row>
    <row r="230">
      <c r="A230" s="17" t="n"/>
      <c r="B230" s="18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8" t="n"/>
      <c r="Q230" s="19">
        <f>IF(B230="","",IF(P230="",TODAY()-B230,P230-B230))</f>
        <v/>
      </c>
      <c r="R230" s="17" t="n"/>
      <c r="S230" s="17" t="n"/>
    </row>
    <row r="231">
      <c r="A231" s="17" t="n"/>
      <c r="B231" s="18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8" t="n"/>
      <c r="Q231" s="19">
        <f>IF(B231="","",IF(P231="",TODAY()-B231,P231-B231))</f>
        <v/>
      </c>
      <c r="R231" s="17" t="n"/>
      <c r="S231" s="17" t="n"/>
    </row>
    <row r="232">
      <c r="A232" s="17" t="n"/>
      <c r="B232" s="18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8" t="n"/>
      <c r="Q232" s="19">
        <f>IF(B232="","",IF(P232="",TODAY()-B232,P232-B232))</f>
        <v/>
      </c>
      <c r="R232" s="17" t="n"/>
      <c r="S232" s="17" t="n"/>
    </row>
    <row r="233">
      <c r="A233" s="17" t="n"/>
      <c r="B233" s="18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8" t="n"/>
      <c r="Q233" s="19">
        <f>IF(B233="","",IF(P233="",TODAY()-B233,P233-B233))</f>
        <v/>
      </c>
      <c r="R233" s="17" t="n"/>
      <c r="S233" s="17" t="n"/>
    </row>
    <row r="234">
      <c r="A234" s="17" t="n"/>
      <c r="B234" s="18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8" t="n"/>
      <c r="Q234" s="19">
        <f>IF(B234="","",IF(P234="",TODAY()-B234,P234-B234))</f>
        <v/>
      </c>
      <c r="R234" s="17" t="n"/>
      <c r="S234" s="17" t="n"/>
    </row>
    <row r="235">
      <c r="A235" s="17" t="n"/>
      <c r="B235" s="18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8" t="n"/>
      <c r="Q235" s="19">
        <f>IF(B235="","",IF(P235="",TODAY()-B235,P235-B235))</f>
        <v/>
      </c>
      <c r="R235" s="17" t="n"/>
      <c r="S235" s="17" t="n"/>
    </row>
    <row r="236">
      <c r="A236" s="17" t="n"/>
      <c r="B236" s="18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8" t="n"/>
      <c r="Q236" s="19">
        <f>IF(B236="","",IF(P236="",TODAY()-B236,P236-B236))</f>
        <v/>
      </c>
      <c r="R236" s="17" t="n"/>
      <c r="S236" s="17" t="n"/>
    </row>
    <row r="237">
      <c r="A237" s="17" t="n"/>
      <c r="B237" s="18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8" t="n"/>
      <c r="Q237" s="19">
        <f>IF(B237="","",IF(P237="",TODAY()-B237,P237-B237))</f>
        <v/>
      </c>
      <c r="R237" s="17" t="n"/>
      <c r="S237" s="17" t="n"/>
    </row>
    <row r="238">
      <c r="A238" s="17" t="n"/>
      <c r="B238" s="18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8" t="n"/>
      <c r="Q238" s="19">
        <f>IF(B238="","",IF(P238="",TODAY()-B238,P238-B238))</f>
        <v/>
      </c>
      <c r="R238" s="17" t="n"/>
      <c r="S238" s="17" t="n"/>
    </row>
    <row r="239">
      <c r="A239" s="17" t="n"/>
      <c r="B239" s="18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8" t="n"/>
      <c r="Q239" s="19">
        <f>IF(B239="","",IF(P239="",TODAY()-B239,P239-B239))</f>
        <v/>
      </c>
      <c r="R239" s="17" t="n"/>
      <c r="S239" s="17" t="n"/>
    </row>
    <row r="240">
      <c r="A240" s="17" t="n"/>
      <c r="B240" s="18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8" t="n"/>
      <c r="Q240" s="19">
        <f>IF(B240="","",IF(P240="",TODAY()-B240,P240-B240))</f>
        <v/>
      </c>
      <c r="R240" s="17" t="n"/>
      <c r="S240" s="17" t="n"/>
    </row>
    <row r="241">
      <c r="A241" s="17" t="n"/>
      <c r="B241" s="18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8" t="n"/>
      <c r="Q241" s="19">
        <f>IF(B241="","",IF(P241="",TODAY()-B241,P241-B241))</f>
        <v/>
      </c>
      <c r="R241" s="17" t="n"/>
      <c r="S241" s="17" t="n"/>
    </row>
    <row r="242">
      <c r="A242" s="17" t="n"/>
      <c r="B242" s="18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8" t="n"/>
      <c r="Q242" s="19">
        <f>IF(B242="","",IF(P242="",TODAY()-B242,P242-B242))</f>
        <v/>
      </c>
      <c r="R242" s="17" t="n"/>
      <c r="S242" s="17" t="n"/>
    </row>
    <row r="243">
      <c r="A243" s="17" t="n"/>
      <c r="B243" s="18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8" t="n"/>
      <c r="Q243" s="19">
        <f>IF(B243="","",IF(P243="",TODAY()-B243,P243-B243))</f>
        <v/>
      </c>
      <c r="R243" s="17" t="n"/>
      <c r="S243" s="17" t="n"/>
    </row>
    <row r="244">
      <c r="A244" s="17" t="n"/>
      <c r="B244" s="18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8" t="n"/>
      <c r="Q244" s="19">
        <f>IF(B244="","",IF(P244="",TODAY()-B244,P244-B244))</f>
        <v/>
      </c>
      <c r="R244" s="17" t="n"/>
      <c r="S244" s="17" t="n"/>
    </row>
    <row r="245">
      <c r="A245" s="17" t="n"/>
      <c r="B245" s="18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8" t="n"/>
      <c r="Q245" s="19">
        <f>IF(B245="","",IF(P245="",TODAY()-B245,P245-B245))</f>
        <v/>
      </c>
      <c r="R245" s="17" t="n"/>
      <c r="S245" s="17" t="n"/>
    </row>
    <row r="246">
      <c r="A246" s="17" t="n"/>
      <c r="B246" s="18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8" t="n"/>
      <c r="Q246" s="19">
        <f>IF(B246="","",IF(P246="",TODAY()-B246,P246-B246))</f>
        <v/>
      </c>
      <c r="R246" s="17" t="n"/>
      <c r="S246" s="17" t="n"/>
    </row>
    <row r="247">
      <c r="A247" s="17" t="n"/>
      <c r="B247" s="18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8" t="n"/>
      <c r="Q247" s="19">
        <f>IF(B247="","",IF(P247="",TODAY()-B247,P247-B247))</f>
        <v/>
      </c>
      <c r="R247" s="17" t="n"/>
      <c r="S247" s="17" t="n"/>
    </row>
    <row r="248">
      <c r="A248" s="17" t="n"/>
      <c r="B248" s="18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8" t="n"/>
      <c r="Q248" s="19">
        <f>IF(B248="","",IF(P248="",TODAY()-B248,P248-B248))</f>
        <v/>
      </c>
      <c r="R248" s="17" t="n"/>
      <c r="S248" s="17" t="n"/>
    </row>
    <row r="249">
      <c r="A249" s="17" t="n"/>
      <c r="B249" s="18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8" t="n"/>
      <c r="Q249" s="19">
        <f>IF(B249="","",IF(P249="",TODAY()-B249,P249-B249))</f>
        <v/>
      </c>
      <c r="R249" s="17" t="n"/>
      <c r="S249" s="17" t="n"/>
    </row>
    <row r="250">
      <c r="A250" s="17" t="n"/>
      <c r="B250" s="18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8" t="n"/>
      <c r="Q250" s="19">
        <f>IF(B250="","",IF(P250="",TODAY()-B250,P250-B250))</f>
        <v/>
      </c>
      <c r="R250" s="17" t="n"/>
      <c r="S250" s="17" t="n"/>
    </row>
    <row r="251">
      <c r="A251" s="17" t="n"/>
      <c r="B251" s="18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8" t="n"/>
      <c r="Q251" s="19">
        <f>IF(B251="","",IF(P251="",TODAY()-B251,P251-B251))</f>
        <v/>
      </c>
      <c r="R251" s="17" t="n"/>
      <c r="S251" s="17" t="n"/>
    </row>
    <row r="252">
      <c r="A252" s="17" t="n"/>
      <c r="B252" s="18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8" t="n"/>
      <c r="Q252" s="19">
        <f>IF(B252="","",IF(P252="",TODAY()-B252,P252-B252))</f>
        <v/>
      </c>
      <c r="R252" s="17" t="n"/>
      <c r="S252" s="17" t="n"/>
    </row>
    <row r="253">
      <c r="A253" s="17" t="n"/>
      <c r="B253" s="18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8" t="n"/>
      <c r="Q253" s="19">
        <f>IF(B253="","",IF(P253="",TODAY()-B253,P253-B253))</f>
        <v/>
      </c>
      <c r="R253" s="17" t="n"/>
      <c r="S253" s="17" t="n"/>
    </row>
    <row r="254">
      <c r="A254" s="17" t="n"/>
      <c r="B254" s="18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8" t="n"/>
      <c r="Q254" s="19">
        <f>IF(B254="","",IF(P254="",TODAY()-B254,P254-B254))</f>
        <v/>
      </c>
      <c r="R254" s="17" t="n"/>
      <c r="S254" s="17" t="n"/>
    </row>
    <row r="255">
      <c r="A255" s="17" t="n"/>
      <c r="B255" s="18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8" t="n"/>
      <c r="Q255" s="19">
        <f>IF(B255="","",IF(P255="",TODAY()-B255,P255-B255))</f>
        <v/>
      </c>
      <c r="R255" s="17" t="n"/>
      <c r="S255" s="17" t="n"/>
    </row>
    <row r="256">
      <c r="A256" s="17" t="n"/>
      <c r="B256" s="18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8" t="n"/>
      <c r="Q256" s="19">
        <f>IF(B256="","",IF(P256="",TODAY()-B256,P256-B256))</f>
        <v/>
      </c>
      <c r="R256" s="17" t="n"/>
      <c r="S256" s="17" t="n"/>
    </row>
    <row r="257">
      <c r="A257" s="17" t="n"/>
      <c r="B257" s="18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8" t="n"/>
      <c r="Q257" s="19">
        <f>IF(B257="","",IF(P257="",TODAY()-B257,P257-B257))</f>
        <v/>
      </c>
      <c r="R257" s="17" t="n"/>
      <c r="S257" s="17" t="n"/>
    </row>
    <row r="258">
      <c r="A258" s="17" t="n"/>
      <c r="B258" s="18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8" t="n"/>
      <c r="Q258" s="19">
        <f>IF(B258="","",IF(P258="",TODAY()-B258,P258-B258))</f>
        <v/>
      </c>
      <c r="R258" s="17" t="n"/>
      <c r="S258" s="17" t="n"/>
    </row>
    <row r="259">
      <c r="A259" s="17" t="n"/>
      <c r="B259" s="18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8" t="n"/>
      <c r="Q259" s="19">
        <f>IF(B259="","",IF(P259="",TODAY()-B259,P259-B259))</f>
        <v/>
      </c>
      <c r="R259" s="17" t="n"/>
      <c r="S259" s="17" t="n"/>
    </row>
    <row r="260">
      <c r="A260" s="17" t="n"/>
      <c r="B260" s="18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8" t="n"/>
      <c r="Q260" s="19">
        <f>IF(B260="","",IF(P260="",TODAY()-B260,P260-B260))</f>
        <v/>
      </c>
      <c r="R260" s="17" t="n"/>
      <c r="S260" s="17" t="n"/>
    </row>
    <row r="261">
      <c r="A261" s="17" t="n"/>
      <c r="B261" s="18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8" t="n"/>
      <c r="Q261" s="19">
        <f>IF(B261="","",IF(P261="",TODAY()-B261,P261-B261))</f>
        <v/>
      </c>
      <c r="R261" s="17" t="n"/>
      <c r="S261" s="17" t="n"/>
    </row>
    <row r="262">
      <c r="A262" s="17" t="n"/>
      <c r="B262" s="18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8" t="n"/>
      <c r="Q262" s="19">
        <f>IF(B262="","",IF(P262="",TODAY()-B262,P262-B262))</f>
        <v/>
      </c>
      <c r="R262" s="17" t="n"/>
      <c r="S262" s="17" t="n"/>
    </row>
    <row r="263">
      <c r="A263" s="17" t="n"/>
      <c r="B263" s="18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8" t="n"/>
      <c r="Q263" s="19">
        <f>IF(B263="","",IF(P263="",TODAY()-B263,P263-B263))</f>
        <v/>
      </c>
      <c r="R263" s="17" t="n"/>
      <c r="S263" s="17" t="n"/>
    </row>
    <row r="264">
      <c r="A264" s="17" t="n"/>
      <c r="B264" s="18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8" t="n"/>
      <c r="Q264" s="19">
        <f>IF(B264="","",IF(P264="",TODAY()-B264,P264-B264))</f>
        <v/>
      </c>
      <c r="R264" s="17" t="n"/>
      <c r="S264" s="17" t="n"/>
    </row>
    <row r="265">
      <c r="A265" s="17" t="n"/>
      <c r="B265" s="18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8" t="n"/>
      <c r="Q265" s="19">
        <f>IF(B265="","",IF(P265="",TODAY()-B265,P265-B265))</f>
        <v/>
      </c>
      <c r="R265" s="17" t="n"/>
      <c r="S265" s="17" t="n"/>
    </row>
    <row r="266">
      <c r="A266" s="17" t="n"/>
      <c r="B266" s="18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8" t="n"/>
      <c r="Q266" s="19">
        <f>IF(B266="","",IF(P266="",TODAY()-B266,P266-B266))</f>
        <v/>
      </c>
      <c r="R266" s="17" t="n"/>
      <c r="S266" s="17" t="n"/>
    </row>
    <row r="267">
      <c r="A267" s="17" t="n"/>
      <c r="B267" s="18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8" t="n"/>
      <c r="Q267" s="19">
        <f>IF(B267="","",IF(P267="",TODAY()-B267,P267-B267))</f>
        <v/>
      </c>
      <c r="R267" s="17" t="n"/>
      <c r="S267" s="17" t="n"/>
    </row>
    <row r="268">
      <c r="A268" s="17" t="n"/>
      <c r="B268" s="18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8" t="n"/>
      <c r="Q268" s="19">
        <f>IF(B268="","",IF(P268="",TODAY()-B268,P268-B268))</f>
        <v/>
      </c>
      <c r="R268" s="17" t="n"/>
      <c r="S268" s="17" t="n"/>
    </row>
    <row r="269">
      <c r="A269" s="17" t="n"/>
      <c r="B269" s="18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8" t="n"/>
      <c r="Q269" s="19">
        <f>IF(B269="","",IF(P269="",TODAY()-B269,P269-B269))</f>
        <v/>
      </c>
      <c r="R269" s="17" t="n"/>
      <c r="S269" s="17" t="n"/>
    </row>
    <row r="270">
      <c r="A270" s="17" t="n"/>
      <c r="B270" s="18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8" t="n"/>
      <c r="Q270" s="19">
        <f>IF(B270="","",IF(P270="",TODAY()-B270,P270-B270))</f>
        <v/>
      </c>
      <c r="R270" s="17" t="n"/>
      <c r="S270" s="17" t="n"/>
    </row>
    <row r="271">
      <c r="A271" s="17" t="n"/>
      <c r="B271" s="18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8" t="n"/>
      <c r="Q271" s="19">
        <f>IF(B271="","",IF(P271="",TODAY()-B271,P271-B271))</f>
        <v/>
      </c>
      <c r="R271" s="17" t="n"/>
      <c r="S271" s="17" t="n"/>
    </row>
    <row r="272">
      <c r="A272" s="17" t="n"/>
      <c r="B272" s="18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8" t="n"/>
      <c r="Q272" s="19">
        <f>IF(B272="","",IF(P272="",TODAY()-B272,P272-B272))</f>
        <v/>
      </c>
      <c r="R272" s="17" t="n"/>
      <c r="S272" s="17" t="n"/>
    </row>
    <row r="273">
      <c r="A273" s="17" t="n"/>
      <c r="B273" s="18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8" t="n"/>
      <c r="Q273" s="19">
        <f>IF(B273="","",IF(P273="",TODAY()-B273,P273-B273))</f>
        <v/>
      </c>
      <c r="R273" s="17" t="n"/>
      <c r="S273" s="17" t="n"/>
    </row>
    <row r="274">
      <c r="A274" s="17" t="n"/>
      <c r="B274" s="18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8" t="n"/>
      <c r="Q274" s="19">
        <f>IF(B274="","",IF(P274="",TODAY()-B274,P274-B274))</f>
        <v/>
      </c>
      <c r="R274" s="17" t="n"/>
      <c r="S274" s="17" t="n"/>
    </row>
    <row r="275">
      <c r="A275" s="17" t="n"/>
      <c r="B275" s="18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8" t="n"/>
      <c r="Q275" s="19">
        <f>IF(B275="","",IF(P275="",TODAY()-B275,P275-B275))</f>
        <v/>
      </c>
      <c r="R275" s="17" t="n"/>
      <c r="S275" s="17" t="n"/>
    </row>
    <row r="276">
      <c r="A276" s="17" t="n"/>
      <c r="B276" s="18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8" t="n"/>
      <c r="Q276" s="19">
        <f>IF(B276="","",IF(P276="",TODAY()-B276,P276-B276))</f>
        <v/>
      </c>
      <c r="R276" s="17" t="n"/>
      <c r="S276" s="17" t="n"/>
    </row>
    <row r="277">
      <c r="A277" s="17" t="n"/>
      <c r="B277" s="18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8" t="n"/>
      <c r="Q277" s="19">
        <f>IF(B277="","",IF(P277="",TODAY()-B277,P277-B277))</f>
        <v/>
      </c>
      <c r="R277" s="17" t="n"/>
      <c r="S277" s="17" t="n"/>
    </row>
    <row r="278">
      <c r="A278" s="17" t="n"/>
      <c r="B278" s="18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8" t="n"/>
      <c r="Q278" s="19">
        <f>IF(B278="","",IF(P278="",TODAY()-B278,P278-B278))</f>
        <v/>
      </c>
      <c r="R278" s="17" t="n"/>
      <c r="S278" s="17" t="n"/>
    </row>
    <row r="279">
      <c r="A279" s="17" t="n"/>
      <c r="B279" s="18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8" t="n"/>
      <c r="Q279" s="19">
        <f>IF(B279="","",IF(P279="",TODAY()-B279,P279-B279))</f>
        <v/>
      </c>
      <c r="R279" s="17" t="n"/>
      <c r="S279" s="17" t="n"/>
    </row>
    <row r="280">
      <c r="A280" s="17" t="n"/>
      <c r="B280" s="18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8" t="n"/>
      <c r="Q280" s="19">
        <f>IF(B280="","",IF(P280="",TODAY()-B280,P280-B280))</f>
        <v/>
      </c>
      <c r="R280" s="17" t="n"/>
      <c r="S280" s="17" t="n"/>
    </row>
    <row r="281">
      <c r="A281" s="17" t="n"/>
      <c r="B281" s="18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8" t="n"/>
      <c r="Q281" s="19">
        <f>IF(B281="","",IF(P281="",TODAY()-B281,P281-B281))</f>
        <v/>
      </c>
      <c r="R281" s="17" t="n"/>
      <c r="S281" s="17" t="n"/>
    </row>
    <row r="282">
      <c r="A282" s="17" t="n"/>
      <c r="B282" s="18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8" t="n"/>
      <c r="Q282" s="19">
        <f>IF(B282="","",IF(P282="",TODAY()-B282,P282-B282))</f>
        <v/>
      </c>
      <c r="R282" s="17" t="n"/>
      <c r="S282" s="17" t="n"/>
    </row>
    <row r="283">
      <c r="A283" s="17" t="n"/>
      <c r="B283" s="18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8" t="n"/>
      <c r="Q283" s="19">
        <f>IF(B283="","",IF(P283="",TODAY()-B283,P283-B283))</f>
        <v/>
      </c>
      <c r="R283" s="17" t="n"/>
      <c r="S283" s="17" t="n"/>
    </row>
    <row r="284">
      <c r="A284" s="17" t="n"/>
      <c r="B284" s="18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8" t="n"/>
      <c r="Q284" s="19">
        <f>IF(B284="","",IF(P284="",TODAY()-B284,P284-B284))</f>
        <v/>
      </c>
      <c r="R284" s="17" t="n"/>
      <c r="S284" s="17" t="n"/>
    </row>
    <row r="285">
      <c r="A285" s="17" t="n"/>
      <c r="B285" s="18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8" t="n"/>
      <c r="Q285" s="19">
        <f>IF(B285="","",IF(P285="",TODAY()-B285,P285-B285))</f>
        <v/>
      </c>
      <c r="R285" s="17" t="n"/>
      <c r="S285" s="17" t="n"/>
    </row>
    <row r="286">
      <c r="A286" s="17" t="n"/>
      <c r="B286" s="18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8" t="n"/>
      <c r="Q286" s="19">
        <f>IF(B286="","",IF(P286="",TODAY()-B286,P286-B286))</f>
        <v/>
      </c>
      <c r="R286" s="17" t="n"/>
      <c r="S286" s="17" t="n"/>
    </row>
    <row r="287">
      <c r="A287" s="17" t="n"/>
      <c r="B287" s="18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8" t="n"/>
      <c r="Q287" s="19">
        <f>IF(B287="","",IF(P287="",TODAY()-B287,P287-B287))</f>
        <v/>
      </c>
      <c r="R287" s="17" t="n"/>
      <c r="S287" s="17" t="n"/>
    </row>
    <row r="288">
      <c r="A288" s="17" t="n"/>
      <c r="B288" s="18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8" t="n"/>
      <c r="Q288" s="19">
        <f>IF(B288="","",IF(P288="",TODAY()-B288,P288-B288))</f>
        <v/>
      </c>
      <c r="R288" s="17" t="n"/>
      <c r="S288" s="17" t="n"/>
    </row>
    <row r="289">
      <c r="A289" s="17" t="n"/>
      <c r="B289" s="18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8" t="n"/>
      <c r="Q289" s="19">
        <f>IF(B289="","",IF(P289="",TODAY()-B289,P289-B289))</f>
        <v/>
      </c>
      <c r="R289" s="17" t="n"/>
      <c r="S289" s="17" t="n"/>
    </row>
    <row r="290">
      <c r="A290" s="17" t="n"/>
      <c r="B290" s="18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8" t="n"/>
      <c r="Q290" s="19">
        <f>IF(B290="","",IF(P290="",TODAY()-B290,P290-B290))</f>
        <v/>
      </c>
      <c r="R290" s="17" t="n"/>
      <c r="S290" s="17" t="n"/>
    </row>
    <row r="291">
      <c r="A291" s="17" t="n"/>
      <c r="B291" s="18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8" t="n"/>
      <c r="Q291" s="19">
        <f>IF(B291="","",IF(P291="",TODAY()-B291,P291-B291))</f>
        <v/>
      </c>
      <c r="R291" s="17" t="n"/>
      <c r="S291" s="17" t="n"/>
    </row>
    <row r="292">
      <c r="A292" s="17" t="n"/>
      <c r="B292" s="18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8" t="n"/>
      <c r="Q292" s="19">
        <f>IF(B292="","",IF(P292="",TODAY()-B292,P292-B292))</f>
        <v/>
      </c>
      <c r="R292" s="17" t="n"/>
      <c r="S292" s="17" t="n"/>
    </row>
    <row r="293">
      <c r="A293" s="17" t="n"/>
      <c r="B293" s="18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8" t="n"/>
      <c r="Q293" s="19">
        <f>IF(B293="","",IF(P293="",TODAY()-B293,P293-B293))</f>
        <v/>
      </c>
      <c r="R293" s="17" t="n"/>
      <c r="S293" s="17" t="n"/>
    </row>
    <row r="294">
      <c r="A294" s="17" t="n"/>
      <c r="B294" s="18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8" t="n"/>
      <c r="Q294" s="19">
        <f>IF(B294="","",IF(P294="",TODAY()-B294,P294-B294))</f>
        <v/>
      </c>
      <c r="R294" s="17" t="n"/>
      <c r="S294" s="17" t="n"/>
    </row>
    <row r="295">
      <c r="A295" s="17" t="n"/>
      <c r="B295" s="18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8" t="n"/>
      <c r="Q295" s="19">
        <f>IF(B295="","",IF(P295="",TODAY()-B295,P295-B295))</f>
        <v/>
      </c>
      <c r="R295" s="17" t="n"/>
      <c r="S295" s="17" t="n"/>
    </row>
    <row r="296">
      <c r="A296" s="17" t="n"/>
      <c r="B296" s="18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8" t="n"/>
      <c r="Q296" s="19">
        <f>IF(B296="","",IF(P296="",TODAY()-B296,P296-B296))</f>
        <v/>
      </c>
      <c r="R296" s="17" t="n"/>
      <c r="S296" s="17" t="n"/>
    </row>
    <row r="297">
      <c r="A297" s="17" t="n"/>
      <c r="B297" s="18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8" t="n"/>
      <c r="Q297" s="19">
        <f>IF(B297="","",IF(P297="",TODAY()-B297,P297-B297))</f>
        <v/>
      </c>
      <c r="R297" s="17" t="n"/>
      <c r="S297" s="17" t="n"/>
    </row>
    <row r="298">
      <c r="A298" s="17" t="n"/>
      <c r="B298" s="18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8" t="n"/>
      <c r="Q298" s="19">
        <f>IF(B298="","",IF(P298="",TODAY()-B298,P298-B298))</f>
        <v/>
      </c>
      <c r="R298" s="17" t="n"/>
      <c r="S298" s="17" t="n"/>
    </row>
    <row r="299">
      <c r="A299" s="17" t="n"/>
      <c r="B299" s="18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8" t="n"/>
      <c r="Q299" s="19">
        <f>IF(B299="","",IF(P299="",TODAY()-B299,P299-B299))</f>
        <v/>
      </c>
      <c r="R299" s="17" t="n"/>
      <c r="S299" s="17" t="n"/>
    </row>
    <row r="300">
      <c r="A300" s="17" t="n"/>
      <c r="B300" s="18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8" t="n"/>
      <c r="Q300" s="19">
        <f>IF(B300="","",IF(P300="",TODAY()-B300,P300-B300))</f>
        <v/>
      </c>
      <c r="R300" s="17" t="n"/>
      <c r="S300" s="17" t="n"/>
    </row>
    <row r="301">
      <c r="A301" s="17" t="n"/>
      <c r="B301" s="18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8" t="n"/>
      <c r="Q301" s="19">
        <f>IF(B301="","",IF(P301="",TODAY()-B301,P301-B301))</f>
        <v/>
      </c>
      <c r="R301" s="17" t="n"/>
      <c r="S301" s="17" t="n"/>
    </row>
  </sheetData>
  <autoFilter ref="A1:S301"/>
  <conditionalFormatting sqref="G2:G301">
    <cfRule type="expression" priority="1" dxfId="0">
      <formula>$G2="Nghiêm trọng"</formula>
    </cfRule>
    <cfRule type="expression" priority="2" dxfId="1">
      <formula>$G2="Cao"</formula>
    </cfRule>
  </conditionalFormatting>
  <conditionalFormatting sqref="A2:S301">
    <cfRule type="expression" priority="3" dxfId="2">
      <formula>OR($N2="Đã sửa",$N2="Không tái hiện được",$N2="Không sửa",$N2="Trùng lặp")</formula>
    </cfRule>
  </conditionalFormatting>
  <dataValidations count="7">
    <dataValidation sqref="E2:E301" showDropDown="0" showInputMessage="0" showErrorMessage="1" allowBlank="1" errorTitle="Giá trị không hợp lệ" error="Hãy chọn từ danh sách thả xuống." type="list">
      <formula1>"Cài đặt skill,SKILL.md / cách gọi skill,references/,assets/project/,Design token,new_project.py,check_tokens.py,Figma MCP,Tavily,Antigravity,Style Văn Minh Việt,README / tài liệu,Khác"</formula1>
    </dataValidation>
    <dataValidation sqref="F2:F301" showDropDown="0" showInputMessage="0" showErrorMessage="1" allowBlank="1" errorTitle="Giá trị không hợp lệ" error="Hãy chọn từ danh sách thả xuống." type="list">
      <formula1>"Codex,Claude Code,Google Antigravity,Khác"</formula1>
    </dataValidation>
    <dataValidation sqref="G2:G301" showDropDown="0" showInputMessage="0" showErrorMessage="1" allowBlank="1" errorTitle="Giá trị không hợp lệ" error="Hãy chọn từ danh sách thả xuống." type="list">
      <formula1>"Nghiêm trọng,Cao,Trung bình,Thấp"</formula1>
    </dataValidation>
    <dataValidation sqref="H2:H301" showDropDown="0" showInputMessage="0" showErrorMessage="1" allowBlank="1" errorTitle="Giá trị không hợp lệ" error="Hãy chọn từ danh sách thả xuống." type="list">
      <formula1>"P1,P2,P3,P4"</formula1>
    </dataValidation>
    <dataValidation sqref="N2:N301" showDropDown="0" showInputMessage="0" showErrorMessage="1" allowBlank="1" errorTitle="Giá trị không hợp lệ" error="Hãy chọn từ danh sách thả xuống." type="list">
      <formula1>"Mới,Đã xác nhận,Đang xử lý,Chờ kiểm tra,Đã sửa,Không tái hiện được,Không sửa,Trùng lặp"</formula1>
    </dataValidation>
    <dataValidation sqref="B2:B301" showDropDown="0" showInputMessage="0" showErrorMessage="1" allowBlank="1" error="Nhập ngày dạng dd/mm/yyyy." type="date" operator="greaterThan">
      <formula1>DATE(2020,1,1)</formula1>
    </dataValidation>
    <dataValidation sqref="P2:P301" showDropDown="0" showInputMessage="0" showErrorMessage="1" allowBlank="1" error="Nhập ngày dạng dd/mm/yyyy." type="date" operator="greaterThan">
      <formula1>DATE(2020,1,1)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2026-10-23T08:53:14Z</dcterms:created>
  <dcterms:modified xmlns:dcterms="http://purl.org/dc/terms/" xmlns:xsi="http://www.w3.org/2001/XMLSchema-instance" xsi:type="dcterms:W3CDTF">2026-10-23T08:53:14Z</dcterms:modified>
</cp:coreProperties>
</file>